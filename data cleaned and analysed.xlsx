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work\Projects\Excel Practice CRM\Project 1\"/>
    </mc:Choice>
  </mc:AlternateContent>
  <xr:revisionPtr revIDLastSave="0" documentId="13_ncr:1_{81A1A02A-9ED1-4474-84B7-EBFB8AF10E17}" xr6:coauthVersionLast="47" xr6:coauthVersionMax="47" xr10:uidLastSave="{00000000-0000-0000-0000-000000000000}"/>
  <bookViews>
    <workbookView xWindow="-108" yWindow="-108" windowWidth="23256" windowHeight="12456" tabRatio="623" activeTab="2" xr2:uid="{26D4546B-D2A1-4444-8EAF-A6228F96F0C1}"/>
  </bookViews>
  <sheets>
    <sheet name="NZ Staff" sheetId="1" r:id="rId1"/>
    <sheet name="India Staff" sheetId="2" r:id="rId2"/>
    <sheet name="All Staff" sheetId="3" r:id="rId3"/>
    <sheet name="Name Searcher" sheetId="14" r:id="rId4"/>
    <sheet name="India vs NZ Card" sheetId="11" r:id="rId5"/>
    <sheet name="India vs NZ Pivot Table" sheetId="12" r:id="rId6"/>
    <sheet name="Employement Growth" sheetId="9" r:id="rId7"/>
    <sheet name="Salary vs Rating" sheetId="8" r:id="rId8"/>
    <sheet name="Salary Spread" sheetId="7" r:id="rId9"/>
    <sheet name="Information Finder" sheetId="4" r:id="rId10"/>
    <sheet name="Gender pivot table" sheetId="6" r:id="rId11"/>
    <sheet name="Male vs Female" sheetId="5" r:id="rId12"/>
    <sheet name="Rating map table" sheetId="13" r:id="rId13"/>
  </sheets>
  <definedNames>
    <definedName name="_xlnm._FilterDatabase" localSheetId="1" hidden="1">'India Staff'!$B$2:$H$114</definedName>
    <definedName name="_xlnm._FilterDatabase" localSheetId="0" hidden="1">'NZ Staff'!$C$5:$I$105</definedName>
    <definedName name="_xlchart.v1.0" hidden="1">'All Staff'!$F$1</definedName>
    <definedName name="_xlchart.v1.1" hidden="1">'All Staff'!$F$2:$F$184</definedName>
    <definedName name="_xlchart.v1.2" hidden="1">'All Staff'!$F$2:$F$184</definedName>
    <definedName name="_xlcn.WorksheetConnection_blankdatafile.xlsxstaff1" hidden="1">staff[]</definedName>
    <definedName name="ExternalData_1" localSheetId="2" hidden="1">'All Staff'!$A$1:$H$184</definedName>
    <definedName name="Slicer_Country">#N/A</definedName>
    <definedName name="Slicer_Department">#N/A</definedName>
  </definedNames>
  <calcPr calcId="191029"/>
  <pivotCaches>
    <pivotCache cacheId="0" r:id="rId14"/>
    <pivotCache cacheId="1" r:id="rId15"/>
    <pivotCache cacheId="2" r:id="rId16"/>
    <pivotCache cacheId="3" r:id="rId17"/>
    <pivotCache cacheId="4" r:id="rId18"/>
    <pivotCache cacheId="5" r:id="rId19"/>
  </pivotCaches>
  <extLst>
    <ext xmlns:x14="http://schemas.microsoft.com/office/spreadsheetml/2009/9/main" uri="{876F7934-8845-4945-9796-88D515C7AA90}">
      <x14:pivotCaches>
        <pivotCache cacheId="6"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ff" name="staff" connection="WorksheetConnection_blank-data-file.xlsx!staff"/>
        </x15:modelTables>
        <x15:extLst>
          <ext xmlns:x16="http://schemas.microsoft.com/office/spreadsheetml/2014/11/main" uri="{9835A34E-60A6-4A7C-AAB8-D5F71C897F49}">
            <x16:modelTimeGroupings>
              <x16:modelTimeGrouping tableName="staff" columnName="Date Joined" columnId="Date Joined">
                <x16:calculatedTimeColumn columnName="Date Joined (Year)" columnId="Date Joined (Year)" contentType="years" isSelected="1"/>
                <x16:calculatedTimeColumn columnName="Date Joined (Quarter)" columnId="Date Joined (Quarter)" contentType="quarters" isSelected="1"/>
                <x16:calculatedTimeColumn columnName="Date Joined (Month Index)" columnId="Date Joined (Month Index)" contentType="monthsindex" isSelected="1"/>
                <x16:calculatedTimeColumn columnName="Date Joined (Month)" columnId="Date Join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5" i="3" l="1"/>
  <c r="J165" i="3" s="1"/>
  <c r="I86" i="3"/>
  <c r="J86" i="3" s="1"/>
  <c r="I36" i="3"/>
  <c r="J36" i="3" s="1"/>
  <c r="I175" i="3"/>
  <c r="J175" i="3" s="1"/>
  <c r="I38" i="3"/>
  <c r="J38" i="3" s="1"/>
  <c r="I160" i="3"/>
  <c r="J160" i="3" s="1"/>
  <c r="I26" i="3"/>
  <c r="J26" i="3" s="1"/>
  <c r="I62" i="3"/>
  <c r="J62" i="3" s="1"/>
  <c r="I42" i="3"/>
  <c r="J42" i="3" s="1"/>
  <c r="I183" i="3"/>
  <c r="J183" i="3" s="1"/>
  <c r="I158" i="3"/>
  <c r="J158" i="3" s="1"/>
  <c r="I68" i="3"/>
  <c r="J68" i="3" s="1"/>
  <c r="I78" i="3"/>
  <c r="J78" i="3" s="1"/>
  <c r="I152" i="3"/>
  <c r="J152" i="3" s="1"/>
  <c r="I18" i="3"/>
  <c r="J18" i="3" s="1"/>
  <c r="I136" i="3"/>
  <c r="J136" i="3" s="1"/>
  <c r="I8" i="3"/>
  <c r="J8" i="3" s="1"/>
  <c r="I48" i="3"/>
  <c r="J48" i="3" s="1"/>
  <c r="I14" i="3"/>
  <c r="J14" i="3" s="1"/>
  <c r="I98" i="3"/>
  <c r="J98" i="3" s="1"/>
  <c r="I52" i="3"/>
  <c r="J52" i="3" s="1"/>
  <c r="I72" i="3"/>
  <c r="J72" i="3" s="1"/>
  <c r="I50" i="3"/>
  <c r="J50" i="3" s="1"/>
  <c r="I30" i="3"/>
  <c r="J30" i="3" s="1"/>
  <c r="I64" i="3"/>
  <c r="I92" i="3"/>
  <c r="J92" i="3" s="1"/>
  <c r="I118" i="3"/>
  <c r="J118" i="3" s="1"/>
  <c r="I4" i="3"/>
  <c r="J4" i="3" s="1"/>
  <c r="I100" i="3"/>
  <c r="J100" i="3" s="1"/>
  <c r="I58" i="3"/>
  <c r="J58" i="3" s="1"/>
  <c r="I96" i="3"/>
  <c r="J96" i="3" s="1"/>
  <c r="I177" i="3"/>
  <c r="J177" i="3" s="1"/>
  <c r="I106" i="3"/>
  <c r="I156" i="3"/>
  <c r="J156" i="3" s="1"/>
  <c r="I32" i="3"/>
  <c r="J32" i="3" s="1"/>
  <c r="I138" i="3"/>
  <c r="J138" i="3" s="1"/>
  <c r="I132" i="3"/>
  <c r="J132" i="3" s="1"/>
  <c r="I142" i="3"/>
  <c r="J142" i="3" s="1"/>
  <c r="I28" i="3"/>
  <c r="J28" i="3" s="1"/>
  <c r="I34" i="3"/>
  <c r="J34" i="3" s="1"/>
  <c r="I104" i="3"/>
  <c r="J104" i="3" s="1"/>
  <c r="I116" i="3"/>
  <c r="I112" i="3"/>
  <c r="J112" i="3" s="1"/>
  <c r="I128" i="3"/>
  <c r="I162" i="3"/>
  <c r="J162" i="3" s="1"/>
  <c r="I108" i="3"/>
  <c r="J108" i="3" s="1"/>
  <c r="I76" i="3"/>
  <c r="J76" i="3" s="1"/>
  <c r="I110" i="3"/>
  <c r="J110" i="3" s="1"/>
  <c r="I54" i="3"/>
  <c r="J54" i="3" s="1"/>
  <c r="I181" i="3"/>
  <c r="I24" i="3"/>
  <c r="J24" i="3" s="1"/>
  <c r="I20" i="3"/>
  <c r="J20" i="3" s="1"/>
  <c r="I173" i="3"/>
  <c r="J173" i="3" s="1"/>
  <c r="I82" i="3"/>
  <c r="J82" i="3" s="1"/>
  <c r="I88" i="3"/>
  <c r="J88" i="3" s="1"/>
  <c r="I154" i="3"/>
  <c r="J154" i="3" s="1"/>
  <c r="I167" i="3"/>
  <c r="J167" i="3" s="1"/>
  <c r="I80" i="3"/>
  <c r="J80" i="3" s="1"/>
  <c r="I179" i="3"/>
  <c r="J179" i="3" s="1"/>
  <c r="I102" i="3"/>
  <c r="J102" i="3" s="1"/>
  <c r="I171" i="3"/>
  <c r="J171" i="3" s="1"/>
  <c r="I124" i="3"/>
  <c r="J124" i="3" s="1"/>
  <c r="I148" i="3"/>
  <c r="J148" i="3" s="1"/>
  <c r="I44" i="3"/>
  <c r="J44" i="3" s="1"/>
  <c r="I122" i="3"/>
  <c r="J122" i="3" s="1"/>
  <c r="I46" i="3"/>
  <c r="J46" i="3" s="1"/>
  <c r="I130" i="3"/>
  <c r="J130" i="3" s="1"/>
  <c r="I70" i="3"/>
  <c r="J70" i="3" s="1"/>
  <c r="I22" i="3"/>
  <c r="J22" i="3" s="1"/>
  <c r="I60" i="3"/>
  <c r="J60" i="3" s="1"/>
  <c r="I144" i="3"/>
  <c r="J144" i="3" s="1"/>
  <c r="I120" i="3"/>
  <c r="J120" i="3" s="1"/>
  <c r="I140" i="3"/>
  <c r="J140" i="3" s="1"/>
  <c r="I169" i="3"/>
  <c r="J169" i="3" s="1"/>
  <c r="I2" i="3"/>
  <c r="J2" i="3" s="1"/>
  <c r="I150" i="3"/>
  <c r="J150" i="3" s="1"/>
  <c r="I10" i="3"/>
  <c r="J10" i="3" s="1"/>
  <c r="I126" i="3"/>
  <c r="J126" i="3" s="1"/>
  <c r="I6" i="3"/>
  <c r="J6" i="3" s="1"/>
  <c r="I146" i="3"/>
  <c r="J146" i="3" s="1"/>
  <c r="I134" i="3"/>
  <c r="J134" i="3" s="1"/>
  <c r="I114" i="3"/>
  <c r="J114" i="3" s="1"/>
  <c r="I16" i="3"/>
  <c r="J16" i="3" s="1"/>
  <c r="I56" i="3"/>
  <c r="J56" i="3" s="1"/>
  <c r="I66" i="3"/>
  <c r="J66" i="3" s="1"/>
  <c r="I12" i="3"/>
  <c r="J12" i="3" s="1"/>
  <c r="I94" i="3"/>
  <c r="J94" i="3" s="1"/>
  <c r="I90" i="3"/>
  <c r="J90" i="3" s="1"/>
  <c r="I74" i="3"/>
  <c r="J74" i="3" s="1"/>
  <c r="I84" i="3"/>
  <c r="J84" i="3" s="1"/>
  <c r="I39" i="3"/>
  <c r="J39" i="3" s="1"/>
  <c r="I163" i="3"/>
  <c r="J163" i="3" s="1"/>
  <c r="I19" i="3"/>
  <c r="J19" i="3" s="1"/>
  <c r="I143" i="3"/>
  <c r="J143" i="3" s="1"/>
  <c r="I21" i="3"/>
  <c r="J21" i="3" s="1"/>
  <c r="I176" i="3"/>
  <c r="J176" i="3" s="1"/>
  <c r="I47" i="3"/>
  <c r="J47" i="3" s="1"/>
  <c r="I131" i="3"/>
  <c r="J131" i="3" s="1"/>
  <c r="I125" i="3"/>
  <c r="J125" i="3" s="1"/>
  <c r="I91" i="3"/>
  <c r="J91" i="3" s="1"/>
  <c r="I157" i="3"/>
  <c r="J157" i="3" s="1"/>
  <c r="I147" i="3"/>
  <c r="J147" i="3" s="1"/>
  <c r="I135" i="3"/>
  <c r="J135" i="3" s="1"/>
  <c r="I25" i="3"/>
  <c r="J25" i="3" s="1"/>
  <c r="I9" i="3"/>
  <c r="J9" i="3" s="1"/>
  <c r="I164" i="3"/>
  <c r="J164" i="3" s="1"/>
  <c r="I33" i="3"/>
  <c r="J33" i="3" s="1"/>
  <c r="I182" i="3"/>
  <c r="J182" i="3" s="1"/>
  <c r="I83" i="3"/>
  <c r="J83" i="3" s="1"/>
  <c r="I109" i="3"/>
  <c r="J109" i="3" s="1"/>
  <c r="I103" i="3"/>
  <c r="J103" i="3" s="1"/>
  <c r="I45" i="3"/>
  <c r="J45" i="3" s="1"/>
  <c r="I121" i="3"/>
  <c r="J121" i="3" s="1"/>
  <c r="I7" i="3"/>
  <c r="J7" i="3" s="1"/>
  <c r="I93" i="3"/>
  <c r="J93" i="3" s="1"/>
  <c r="I11" i="3"/>
  <c r="J11" i="3" s="1"/>
  <c r="I141" i="3"/>
  <c r="J141" i="3" s="1"/>
  <c r="I51" i="3"/>
  <c r="J51" i="3" s="1"/>
  <c r="I172" i="3"/>
  <c r="J172" i="3" s="1"/>
  <c r="I13" i="3"/>
  <c r="J13" i="3" s="1"/>
  <c r="I161" i="3"/>
  <c r="J161" i="3" s="1"/>
  <c r="I23" i="3"/>
  <c r="J23" i="3" s="1"/>
  <c r="I71" i="3"/>
  <c r="J71" i="3" s="1"/>
  <c r="I139" i="3"/>
  <c r="J139" i="3" s="1"/>
  <c r="I111" i="3"/>
  <c r="J111" i="3" s="1"/>
  <c r="I35" i="3"/>
  <c r="J35" i="3" s="1"/>
  <c r="I159" i="3"/>
  <c r="J159" i="3" s="1"/>
  <c r="I184" i="3"/>
  <c r="J184" i="3" s="1"/>
  <c r="I166" i="3"/>
  <c r="J166" i="3" s="1"/>
  <c r="I174" i="3"/>
  <c r="J174" i="3" s="1"/>
  <c r="I31" i="3"/>
  <c r="J31" i="3" s="1"/>
  <c r="I99" i="3"/>
  <c r="J99" i="3" s="1"/>
  <c r="I37" i="3"/>
  <c r="J37" i="3" s="1"/>
  <c r="I115" i="3"/>
  <c r="J115" i="3" s="1"/>
  <c r="I3" i="3"/>
  <c r="J3" i="3" s="1"/>
  <c r="I95" i="3"/>
  <c r="J95" i="3" s="1"/>
  <c r="I53" i="3"/>
  <c r="J53" i="3" s="1"/>
  <c r="I149" i="3"/>
  <c r="J149" i="3" s="1"/>
  <c r="I49" i="3"/>
  <c r="J49" i="3" s="1"/>
  <c r="I127" i="3"/>
  <c r="J127" i="3" s="1"/>
  <c r="I85" i="3"/>
  <c r="J85" i="3" s="1"/>
  <c r="I101" i="3"/>
  <c r="J101" i="3" s="1"/>
  <c r="I123" i="3"/>
  <c r="J123" i="3" s="1"/>
  <c r="I61" i="3"/>
  <c r="J61" i="3" s="1"/>
  <c r="I178" i="3"/>
  <c r="J178" i="3" s="1"/>
  <c r="I67" i="3"/>
  <c r="J67" i="3" s="1"/>
  <c r="I65" i="3"/>
  <c r="J65" i="3" s="1"/>
  <c r="I129" i="3"/>
  <c r="J129" i="3" s="1"/>
  <c r="I29" i="3"/>
  <c r="J29" i="3" s="1"/>
  <c r="I113" i="3"/>
  <c r="J113" i="3" s="1"/>
  <c r="I119" i="3"/>
  <c r="J119" i="3" s="1"/>
  <c r="I77" i="3"/>
  <c r="J77" i="3" s="1"/>
  <c r="I40" i="3"/>
  <c r="J40" i="3" s="1"/>
  <c r="I17" i="3"/>
  <c r="J17" i="3" s="1"/>
  <c r="I155" i="3"/>
  <c r="J155" i="3" s="1"/>
  <c r="I137" i="3"/>
  <c r="J137" i="3" s="1"/>
  <c r="I15" i="3"/>
  <c r="J15" i="3" s="1"/>
  <c r="I89" i="3"/>
  <c r="J89" i="3" s="1"/>
  <c r="I168" i="3"/>
  <c r="J168" i="3" s="1"/>
  <c r="I117" i="3"/>
  <c r="J117" i="3" s="1"/>
  <c r="I41" i="3"/>
  <c r="J41" i="3" s="1"/>
  <c r="I79" i="3"/>
  <c r="J79" i="3" s="1"/>
  <c r="I73" i="3"/>
  <c r="J73" i="3" s="1"/>
  <c r="I81" i="3"/>
  <c r="J81" i="3" s="1"/>
  <c r="I59" i="3"/>
  <c r="J59" i="3" s="1"/>
  <c r="I151" i="3"/>
  <c r="J151" i="3" s="1"/>
  <c r="I180" i="3"/>
  <c r="J180" i="3" s="1"/>
  <c r="I105" i="3"/>
  <c r="J105" i="3" s="1"/>
  <c r="I170" i="3"/>
  <c r="J170" i="3" s="1"/>
  <c r="I145" i="3"/>
  <c r="J145" i="3" s="1"/>
  <c r="I75" i="3"/>
  <c r="J75" i="3" s="1"/>
  <c r="I5" i="3"/>
  <c r="J5" i="3" s="1"/>
  <c r="I63" i="3"/>
  <c r="J63" i="3" s="1"/>
  <c r="I153" i="3"/>
  <c r="J153" i="3" s="1"/>
  <c r="I69" i="3"/>
  <c r="J69" i="3" s="1"/>
  <c r="I97" i="3"/>
  <c r="J97" i="3" s="1"/>
  <c r="I43" i="3"/>
  <c r="J43" i="3" s="1"/>
  <c r="I107" i="3"/>
  <c r="J107" i="3" s="1"/>
  <c r="I55" i="3"/>
  <c r="J55" i="3" s="1"/>
  <c r="I87" i="3"/>
  <c r="J87" i="3" s="1"/>
  <c r="I57" i="3"/>
  <c r="J57" i="3" s="1"/>
  <c r="I27" i="3"/>
  <c r="J27" i="3" s="1"/>
  <c r="I133" i="3"/>
  <c r="J133" i="3" s="1"/>
  <c r="J64" i="3"/>
  <c r="J106" i="3"/>
  <c r="J116" i="3"/>
  <c r="J128" i="3"/>
  <c r="J181" i="3"/>
  <c r="K165" i="3"/>
  <c r="K86" i="3"/>
  <c r="K36" i="3"/>
  <c r="K175" i="3"/>
  <c r="K38" i="3"/>
  <c r="K160" i="3"/>
  <c r="K26" i="3"/>
  <c r="K62" i="3"/>
  <c r="K42" i="3"/>
  <c r="K183" i="3"/>
  <c r="K158" i="3"/>
  <c r="K68" i="3"/>
  <c r="K78" i="3"/>
  <c r="K152" i="3"/>
  <c r="K18" i="3"/>
  <c r="K136" i="3"/>
  <c r="K8" i="3"/>
  <c r="K48" i="3"/>
  <c r="K14" i="3"/>
  <c r="K98" i="3"/>
  <c r="K52" i="3"/>
  <c r="K72" i="3"/>
  <c r="K50" i="3"/>
  <c r="K30" i="3"/>
  <c r="K64" i="3"/>
  <c r="K92" i="3"/>
  <c r="K118" i="3"/>
  <c r="K4" i="3"/>
  <c r="K100" i="3"/>
  <c r="K58" i="3"/>
  <c r="K96" i="3"/>
  <c r="K177" i="3"/>
  <c r="K106" i="3"/>
  <c r="K156" i="3"/>
  <c r="K32" i="3"/>
  <c r="K138" i="3"/>
  <c r="K132" i="3"/>
  <c r="K142" i="3"/>
  <c r="K28" i="3"/>
  <c r="K34" i="3"/>
  <c r="K104" i="3"/>
  <c r="K116" i="3"/>
  <c r="K112" i="3"/>
  <c r="K128" i="3"/>
  <c r="K162" i="3"/>
  <c r="K108" i="3"/>
  <c r="K76" i="3"/>
  <c r="K110" i="3"/>
  <c r="K54" i="3"/>
  <c r="K181" i="3"/>
  <c r="K24" i="3"/>
  <c r="K20" i="3"/>
  <c r="K173" i="3"/>
  <c r="K82" i="3"/>
  <c r="K88" i="3"/>
  <c r="K154" i="3"/>
  <c r="K167" i="3"/>
  <c r="K80" i="3"/>
  <c r="K179" i="3"/>
  <c r="K102" i="3"/>
  <c r="K171" i="3"/>
  <c r="K124" i="3"/>
  <c r="K148" i="3"/>
  <c r="K44" i="3"/>
  <c r="K122" i="3"/>
  <c r="K46" i="3"/>
  <c r="K130" i="3"/>
  <c r="K70" i="3"/>
  <c r="K22" i="3"/>
  <c r="K60" i="3"/>
  <c r="K144" i="3"/>
  <c r="K120" i="3"/>
  <c r="K140" i="3"/>
  <c r="K169" i="3"/>
  <c r="K2" i="3"/>
  <c r="K150" i="3"/>
  <c r="K10" i="3"/>
  <c r="K126" i="3"/>
  <c r="K6" i="3"/>
  <c r="K146" i="3"/>
  <c r="K134" i="3"/>
  <c r="K114" i="3"/>
  <c r="K16" i="3"/>
  <c r="K56" i="3"/>
  <c r="K66" i="3"/>
  <c r="K12" i="3"/>
  <c r="K94" i="3"/>
  <c r="K90" i="3"/>
  <c r="K74" i="3"/>
  <c r="K84" i="3"/>
  <c r="K39" i="3"/>
  <c r="K163" i="3"/>
  <c r="K19" i="3"/>
  <c r="K143" i="3"/>
  <c r="K21" i="3"/>
  <c r="K176" i="3"/>
  <c r="K47" i="3"/>
  <c r="K131" i="3"/>
  <c r="K125" i="3"/>
  <c r="K91" i="3"/>
  <c r="K157" i="3"/>
  <c r="K147" i="3"/>
  <c r="K135" i="3"/>
  <c r="K25" i="3"/>
  <c r="K9" i="3"/>
  <c r="K164" i="3"/>
  <c r="K33" i="3"/>
  <c r="K182" i="3"/>
  <c r="K83" i="3"/>
  <c r="K109" i="3"/>
  <c r="K103" i="3"/>
  <c r="K45" i="3"/>
  <c r="K121" i="3"/>
  <c r="K7" i="3"/>
  <c r="K93" i="3"/>
  <c r="K11" i="3"/>
  <c r="K141" i="3"/>
  <c r="K51" i="3"/>
  <c r="K172" i="3"/>
  <c r="K13" i="3"/>
  <c r="K161" i="3"/>
  <c r="K23" i="3"/>
  <c r="K71" i="3"/>
  <c r="K139" i="3"/>
  <c r="K111" i="3"/>
  <c r="K35" i="3"/>
  <c r="K159" i="3"/>
  <c r="K184" i="3"/>
  <c r="K166" i="3"/>
  <c r="K174" i="3"/>
  <c r="K31" i="3"/>
  <c r="K99" i="3"/>
  <c r="K37" i="3"/>
  <c r="K115" i="3"/>
  <c r="K3" i="3"/>
  <c r="K95" i="3"/>
  <c r="K53" i="3"/>
  <c r="K149" i="3"/>
  <c r="K49" i="3"/>
  <c r="K127" i="3"/>
  <c r="K85" i="3"/>
  <c r="K101" i="3"/>
  <c r="K123" i="3"/>
  <c r="K61" i="3"/>
  <c r="K178" i="3"/>
  <c r="K67" i="3"/>
  <c r="K65" i="3"/>
  <c r="K129" i="3"/>
  <c r="K29" i="3"/>
  <c r="K113" i="3"/>
  <c r="K119" i="3"/>
  <c r="K77" i="3"/>
  <c r="K40" i="3"/>
  <c r="K17" i="3"/>
  <c r="K155" i="3"/>
  <c r="K137" i="3"/>
  <c r="K15" i="3"/>
  <c r="K89" i="3"/>
  <c r="K168" i="3"/>
  <c r="K117" i="3"/>
  <c r="K41" i="3"/>
  <c r="K79" i="3"/>
  <c r="K73" i="3"/>
  <c r="K81" i="3"/>
  <c r="K59" i="3"/>
  <c r="K151" i="3"/>
  <c r="K180" i="3"/>
  <c r="K105" i="3"/>
  <c r="K170" i="3"/>
  <c r="K145" i="3"/>
  <c r="K75" i="3"/>
  <c r="K5" i="3"/>
  <c r="K63" i="3"/>
  <c r="K153" i="3"/>
  <c r="K69" i="3"/>
  <c r="K97" i="3"/>
  <c r="K43" i="3"/>
  <c r="K107" i="3"/>
  <c r="K55" i="3"/>
  <c r="K87" i="3"/>
  <c r="K57" i="3"/>
  <c r="K27" i="3"/>
  <c r="K133" i="3"/>
  <c r="U6" i="9" a="1"/>
  <c r="U6" i="9" s="1"/>
  <c r="V6" i="9" s="1" a="1"/>
  <c r="O2" i="11"/>
  <c r="G2" i="11"/>
  <c r="Q15" i="5"/>
  <c r="Q14" i="5"/>
  <c r="Q13" i="5"/>
  <c r="P11" i="4"/>
  <c r="O11" i="3"/>
  <c r="O17" i="3" s="1"/>
  <c r="O15" i="3"/>
  <c r="P13" i="3"/>
  <c r="P12" i="3"/>
  <c r="O13" i="3"/>
  <c r="O12" i="3"/>
  <c r="F106" i="1"/>
  <c r="H106" i="1"/>
  <c r="H115" i="2"/>
  <c r="D115" i="2"/>
  <c r="B115" i="2"/>
  <c r="I106" i="1"/>
  <c r="C6" i="14" l="1" a="1"/>
  <c r="C6" i="14" s="1"/>
  <c r="C2" i="11"/>
  <c r="E2" i="11" s="1"/>
  <c r="K2" i="11"/>
  <c r="M2" i="11" s="1"/>
  <c r="W13" i="9"/>
  <c r="W21" i="9"/>
  <c r="W29" i="9"/>
  <c r="W37" i="9"/>
  <c r="W11" i="9"/>
  <c r="W14" i="9"/>
  <c r="W22" i="9"/>
  <c r="W30" i="9"/>
  <c r="W38" i="9"/>
  <c r="W18" i="9"/>
  <c r="W7" i="9"/>
  <c r="W15" i="9"/>
  <c r="W23" i="9"/>
  <c r="W31" i="9"/>
  <c r="W39" i="9"/>
  <c r="W26" i="9"/>
  <c r="W8" i="9"/>
  <c r="W16" i="9"/>
  <c r="W24" i="9"/>
  <c r="W32" i="9"/>
  <c r="W40" i="9"/>
  <c r="W34" i="9"/>
  <c r="W35" i="9"/>
  <c r="W9" i="9"/>
  <c r="W17" i="9"/>
  <c r="W25" i="9"/>
  <c r="W33" i="9"/>
  <c r="W41" i="9"/>
  <c r="W10" i="9"/>
  <c r="W27" i="9"/>
  <c r="W12" i="9"/>
  <c r="W20" i="9"/>
  <c r="W28" i="9"/>
  <c r="W36" i="9"/>
  <c r="W19" i="9"/>
  <c r="V6" i="9"/>
  <c r="W6" i="9" s="1"/>
  <c r="C7" i="4" a="1"/>
  <c r="C7" i="4" s="1"/>
  <c r="C4" i="5" a="1"/>
  <c r="C4" i="5" s="1"/>
  <c r="Q12" i="5"/>
  <c r="O16" i="3"/>
  <c r="O14" i="3"/>
  <c r="X13" i="9" l="1"/>
  <c r="X21" i="9"/>
  <c r="X29" i="9"/>
  <c r="X37" i="9"/>
  <c r="X28" i="9"/>
  <c r="X14" i="9"/>
  <c r="X22" i="9"/>
  <c r="X30" i="9"/>
  <c r="X38" i="9"/>
  <c r="X36" i="9"/>
  <c r="X7" i="9"/>
  <c r="X15" i="9"/>
  <c r="X23" i="9"/>
  <c r="X31" i="9"/>
  <c r="X39" i="9"/>
  <c r="X8" i="9"/>
  <c r="X16" i="9"/>
  <c r="X24" i="9"/>
  <c r="X32" i="9"/>
  <c r="X40" i="9"/>
  <c r="X9" i="9"/>
  <c r="X17" i="9"/>
  <c r="X25" i="9"/>
  <c r="X33" i="9"/>
  <c r="X41" i="9"/>
  <c r="X10" i="9"/>
  <c r="X18" i="9"/>
  <c r="X26" i="9"/>
  <c r="X34" i="9"/>
  <c r="X6" i="9"/>
  <c r="X19" i="9"/>
  <c r="X27" i="9"/>
  <c r="X35" i="9"/>
  <c r="X20" i="9"/>
  <c r="X11" i="9"/>
  <c r="X1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16E1A5-F4DA-4050-ADC0-CFCC9AB5F034}" keepAlive="1" name="Query - india staff" description="Connection to the 'india staff' query in the workbook." type="5" refreshedVersion="0" background="1">
    <dbPr connection="Provider=Microsoft.Mashup.OleDb.1;Data Source=$Workbook$;Location=&quot;india staff&quot;;Extended Properties=&quot;&quot;" command="SELECT * FROM [india staff]"/>
  </connection>
  <connection id="2" xr16:uid="{AA4268B3-9921-482C-9CBA-531C82BCD2A7}" keepAlive="1" name="Query - nz_staff" description="Connection to the 'nz_staff' query in the workbook." type="5" refreshedVersion="0" background="1">
    <dbPr connection="Provider=Microsoft.Mashup.OleDb.1;Data Source=$Workbook$;Location=nz_staff;Extended Properties=&quot;&quot;" command="SELECT * FROM [nz_staff]"/>
  </connection>
  <connection id="3" xr16:uid="{1622F89C-B109-4BE3-8022-D6218B1C6226}"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 id="4" xr16:uid="{8EB288CC-F892-4990-854D-D71D6AC868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F20CD521-0312-4A49-939D-24E3477AA8A7}" name="WorksheetConnection_blank-data-file.xlsx!staff" type="102" refreshedVersion="8" minRefreshableVersion="5">
    <extLst>
      <ext xmlns:x15="http://schemas.microsoft.com/office/spreadsheetml/2010/11/main" uri="{DE250136-89BD-433C-8126-D09CA5730AF9}">
        <x15:connection id="staff" autoDelete="1">
          <x15:rangePr sourceName="_xlcn.WorksheetConnection_blankdatafile.xlsxstaff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3">
    <s v="ThisWorkbookDataModel"/>
    <s v="{[staff].[Country].&amp;[nz]}"/>
    <s v="{[staff].[Country].&amp;[India]}"/>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1" v="0"/>
    </bk>
  </cellMetadata>
  <valueMetadata count="2">
    <bk>
      <rc t="2" v="0"/>
    </bk>
    <bk>
      <rc t="2" v="1"/>
    </bk>
  </valueMetadata>
</metadata>
</file>

<file path=xl/sharedStrings.xml><?xml version="1.0" encoding="utf-8"?>
<sst xmlns="http://schemas.openxmlformats.org/spreadsheetml/2006/main" count="1917" uniqueCount="268">
  <si>
    <t>Name</t>
  </si>
  <si>
    <t>Gender</t>
  </si>
  <si>
    <t>Department</t>
  </si>
  <si>
    <t>Age</t>
  </si>
  <si>
    <t>Date Joined</t>
  </si>
  <si>
    <t>Salary</t>
  </si>
  <si>
    <t>Rating</t>
  </si>
  <si>
    <t>Barr Faughny</t>
  </si>
  <si>
    <t>Female</t>
  </si>
  <si>
    <t>Procurement</t>
  </si>
  <si>
    <t>Exceptional</t>
  </si>
  <si>
    <t>Dennison Crosswaite</t>
  </si>
  <si>
    <t>Website</t>
  </si>
  <si>
    <t>Above average</t>
  </si>
  <si>
    <t>Gunar Cockshoot</t>
  </si>
  <si>
    <t>Male</t>
  </si>
  <si>
    <t>Average</t>
  </si>
  <si>
    <t>Wilone O'Kielt</t>
  </si>
  <si>
    <t>Gigi Bohling</t>
  </si>
  <si>
    <t>Sales</t>
  </si>
  <si>
    <t>Curtice Advani</t>
  </si>
  <si>
    <t>Finance</t>
  </si>
  <si>
    <t>Kaine Padly</t>
  </si>
  <si>
    <t>Ches Bonnell</t>
  </si>
  <si>
    <t>Poor</t>
  </si>
  <si>
    <t>Andria Kimpton</t>
  </si>
  <si>
    <t>Brien Boise</t>
  </si>
  <si>
    <t>Husein Augar</t>
  </si>
  <si>
    <t>Karlen McCaffrey</t>
  </si>
  <si>
    <t>Jan Morforth</t>
  </si>
  <si>
    <t>Dotty Strutley</t>
  </si>
  <si>
    <t>Kelci Walkden</t>
  </si>
  <si>
    <t>Marney O'Breen</t>
  </si>
  <si>
    <t>Rafaelita Blaksland</t>
  </si>
  <si>
    <t>Madelene Upcott</t>
  </si>
  <si>
    <t>Beverie Moffet</t>
  </si>
  <si>
    <t>Oby Sorrel</t>
  </si>
  <si>
    <t>Mallorie Waber</t>
  </si>
  <si>
    <t>Jehu Rudeforth</t>
  </si>
  <si>
    <t>Van Tuxwell</t>
  </si>
  <si>
    <t>Roddy Speechley</t>
  </si>
  <si>
    <t>Camilla Castle</t>
  </si>
  <si>
    <t>Very poor</t>
  </si>
  <si>
    <t>Janene Hairsine</t>
  </si>
  <si>
    <t>Niall Selesnick</t>
  </si>
  <si>
    <t>Ebonee Roxburgh</t>
  </si>
  <si>
    <t>Zach Polon</t>
  </si>
  <si>
    <t>Orton Livick</t>
  </si>
  <si>
    <t>Gray Seamon</t>
  </si>
  <si>
    <t>Benny Karolovsky</t>
  </si>
  <si>
    <t>Dyna Doucette</t>
  </si>
  <si>
    <t>Erin Androsik</t>
  </si>
  <si>
    <t>Madge McCloughen</t>
  </si>
  <si>
    <t>Esmaria Denecamp</t>
  </si>
  <si>
    <t>Hogan Iles</t>
  </si>
  <si>
    <t>Valentia Etteridge</t>
  </si>
  <si>
    <t>HR</t>
  </si>
  <si>
    <t>Archibald Filliskirk</t>
  </si>
  <si>
    <t>Lindy Guillet</t>
  </si>
  <si>
    <t>Dell Molloy</t>
  </si>
  <si>
    <t>Ewart Laphorn</t>
  </si>
  <si>
    <t>Vic Radolf</t>
  </si>
  <si>
    <t>Virginia McConville</t>
  </si>
  <si>
    <t>Kaye Crocroft</t>
  </si>
  <si>
    <t>Mollie Hanway</t>
  </si>
  <si>
    <t>Hoyt D'Alesco</t>
  </si>
  <si>
    <t>Crissie Cordel</t>
  </si>
  <si>
    <t>Myer McCory</t>
  </si>
  <si>
    <t>Enoch Dowrey</t>
  </si>
  <si>
    <t>Kissiah Maydway</t>
  </si>
  <si>
    <t>Ambros Murthwaite</t>
  </si>
  <si>
    <t>Torrance Collier</t>
  </si>
  <si>
    <t>Allene Gobbet</t>
  </si>
  <si>
    <t>Violante Courtonne</t>
  </si>
  <si>
    <t>Merrilee Plenty</t>
  </si>
  <si>
    <t>Tatum Hush</t>
  </si>
  <si>
    <t>Kath Bletsoe</t>
  </si>
  <si>
    <t>Hinda Label</t>
  </si>
  <si>
    <t>Shari McNee</t>
  </si>
  <si>
    <t>My Hanscome</t>
  </si>
  <si>
    <t>Drusy MacCombe</t>
  </si>
  <si>
    <t>Halimeda Kuscha</t>
  </si>
  <si>
    <t>William Reeveley</t>
  </si>
  <si>
    <t>Tracy Renad</t>
  </si>
  <si>
    <t>Kassi Jonson</t>
  </si>
  <si>
    <t>Constantino Espley</t>
  </si>
  <si>
    <t>Gretchen Callow</t>
  </si>
  <si>
    <t>Bev Lashley</t>
  </si>
  <si>
    <t>Sibyl Dunkirk</t>
  </si>
  <si>
    <t>Alta Kaszper</t>
  </si>
  <si>
    <t>Shayne Stegel</t>
  </si>
  <si>
    <t>Hyacinthie Braybrooke</t>
  </si>
  <si>
    <t>Agnes Collicott</t>
  </si>
  <si>
    <t>Teressa Udden</t>
  </si>
  <si>
    <t>Bennie Pepis</t>
  </si>
  <si>
    <t>Elia Cockton</t>
  </si>
  <si>
    <t>Cherlyn Barter</t>
  </si>
  <si>
    <t>Murry Dryburgh</t>
  </si>
  <si>
    <t>Mahalia Larcher</t>
  </si>
  <si>
    <t>Bili Sizey</t>
  </si>
  <si>
    <t>Lilyan Klimpt</t>
  </si>
  <si>
    <t>Caro Chappel</t>
  </si>
  <si>
    <t>Leilah Yesinin</t>
  </si>
  <si>
    <t>Collin Jagson</t>
  </si>
  <si>
    <t>Kellsie Waby</t>
  </si>
  <si>
    <t>Simon Kembery</t>
  </si>
  <si>
    <t>Tawnya Tickel</t>
  </si>
  <si>
    <t>Bernie Gorges</t>
  </si>
  <si>
    <t>Florinda Crace</t>
  </si>
  <si>
    <t>Oran Buxcy</t>
  </si>
  <si>
    <t>Employee Data</t>
  </si>
  <si>
    <t>Nanak Sapna</t>
  </si>
  <si>
    <t>Karuna Pashupathy</t>
  </si>
  <si>
    <t>Amal Nimesh</t>
  </si>
  <si>
    <t>Ramnath Ravuri</t>
  </si>
  <si>
    <t>Yauvani Tarpa</t>
  </si>
  <si>
    <t>Upendra Swati</t>
  </si>
  <si>
    <t>Hridaynath Tendulkar</t>
  </si>
  <si>
    <t>Gangadutt Ragha</t>
  </si>
  <si>
    <t>Rameshwari Chikodi</t>
  </si>
  <si>
    <t>Pratigya Rema</t>
  </si>
  <si>
    <t>Kantimoy Pritish</t>
  </si>
  <si>
    <t>Tarala Vishaal</t>
  </si>
  <si>
    <t>Ardhendu Abhichandra Jayakar</t>
  </si>
  <si>
    <t>Jagajeet Viraj</t>
  </si>
  <si>
    <t>Shattesh Utpat</t>
  </si>
  <si>
    <t>Agrata Rajarama</t>
  </si>
  <si>
    <t>Sawini Chandan</t>
  </si>
  <si>
    <t>Damayanti Thangavadivelu</t>
  </si>
  <si>
    <t>Indu Varada Sumedh</t>
  </si>
  <si>
    <t>Krittika Gaekwad</t>
  </si>
  <si>
    <t>Mardav Ramaswami</t>
  </si>
  <si>
    <t>Lalit Kothari</t>
  </si>
  <si>
    <t>Bhuvan Pals</t>
  </si>
  <si>
    <t>Sarayu Ragunathan</t>
  </si>
  <si>
    <t>Ayog Chakrabarti</t>
  </si>
  <si>
    <t>Shevantilal Muppala</t>
  </si>
  <si>
    <t>Suchira Bhanupriya Tapti</t>
  </si>
  <si>
    <t>Mahindra Sreedharan</t>
  </si>
  <si>
    <t>Chitrasen Laul</t>
  </si>
  <si>
    <t>Akbar Sorabhjee</t>
  </si>
  <si>
    <t>Shulabh Qutub Sundaramoorthy</t>
  </si>
  <si>
    <t>Sahila Chandrasekhar</t>
  </si>
  <si>
    <t>Satyendra Venkatadri</t>
  </si>
  <si>
    <t>Piyali Mahanthapa</t>
  </si>
  <si>
    <t>Rukma Vinita</t>
  </si>
  <si>
    <t>Vanmala Shriharsha</t>
  </si>
  <si>
    <t>Sarojini Naueshwara</t>
  </si>
  <si>
    <t>Kaishori Harathi Kateel</t>
  </si>
  <si>
    <t>Shobhana Samuel</t>
  </si>
  <si>
    <t>Krishnakanta Vellanki</t>
  </si>
  <si>
    <t>Shiuli Sapna</t>
  </si>
  <si>
    <t>Anjushri Chandiramani</t>
  </si>
  <si>
    <t>Fullara Sushanti Mokate</t>
  </si>
  <si>
    <t>Shreela Ramasubraman</t>
  </si>
  <si>
    <t>Gumwant Veera</t>
  </si>
  <si>
    <t>Deepali Charan</t>
  </si>
  <si>
    <t>Geena Raghavanpillai</t>
  </si>
  <si>
    <t>Prerana Nishita</t>
  </si>
  <si>
    <t>Shekhar Eswara</t>
  </si>
  <si>
    <t>Kamalakshi Mukundan</t>
  </si>
  <si>
    <t>Sahas Sanabhi Shrikant</t>
  </si>
  <si>
    <t>Ranajay Kailashnath Richa</t>
  </si>
  <si>
    <t>Sukhdev Nageshwar</t>
  </si>
  <si>
    <t>Rushil Kripa</t>
  </si>
  <si>
    <t>Daruka Ghazali</t>
  </si>
  <si>
    <t>Godavari Veena</t>
  </si>
  <si>
    <t>Anumati Shyamari Meherhomji</t>
  </si>
  <si>
    <t>Abhaya Priyavardhan</t>
  </si>
  <si>
    <t>Purnendu Vijayarangan</t>
  </si>
  <si>
    <t>Sameer Shashank Sapra</t>
  </si>
  <si>
    <t>Asija Pothireddy</t>
  </si>
  <si>
    <t>Rupak Mehra</t>
  </si>
  <si>
    <t>Makshi Vinutha</t>
  </si>
  <si>
    <t>Pragya Nilufar</t>
  </si>
  <si>
    <t>Dhruv Manjunath</t>
  </si>
  <si>
    <t>Yagna Sujeev</t>
  </si>
  <si>
    <t>Mithil Nadkarni</t>
  </si>
  <si>
    <t>Bandhula Sathyanna</t>
  </si>
  <si>
    <t>Shubhra Potla</t>
  </si>
  <si>
    <t>Narois Motiwala</t>
  </si>
  <si>
    <t>Madhumati Gazala Soumitra</t>
  </si>
  <si>
    <t>Sanchali Shirish</t>
  </si>
  <si>
    <t>Chandana Sannidhi Surnilla</t>
  </si>
  <si>
    <t>Devasree Fullara Saurin</t>
  </si>
  <si>
    <t>Kunja Prashanta Vibha</t>
  </si>
  <si>
    <t>Kevalkumar Solanki</t>
  </si>
  <si>
    <t>Kulbhushan Moorthy</t>
  </si>
  <si>
    <t>Hemavati Muthiah</t>
  </si>
  <si>
    <t>Sartaj Probal</t>
  </si>
  <si>
    <t>Jaishree Atasi Yavatkar</t>
  </si>
  <si>
    <t>Ilesh Dasgupta</t>
  </si>
  <si>
    <t>Waheeda Vasuman</t>
  </si>
  <si>
    <t>Vinanti Choudhari</t>
  </si>
  <si>
    <t>Manjusri Ruchi</t>
  </si>
  <si>
    <t>Deepit Ranjana</t>
  </si>
  <si>
    <t>Amlankusum Rajabhushan</t>
  </si>
  <si>
    <t>Udyan Lanka</t>
  </si>
  <si>
    <t>Baruna Ogale</t>
  </si>
  <si>
    <t>Heer Pennathur</t>
  </si>
  <si>
    <t>Vasu Nandin</t>
  </si>
  <si>
    <t>Madhavdas Buhpathi</t>
  </si>
  <si>
    <t>Mirium Seemantini Shivakumar</t>
  </si>
  <si>
    <t>Total</t>
  </si>
  <si>
    <t>Country</t>
  </si>
  <si>
    <t>nz</t>
  </si>
  <si>
    <t>other</t>
  </si>
  <si>
    <t>India</t>
  </si>
  <si>
    <t>Tenure</t>
  </si>
  <si>
    <t>Female Count</t>
  </si>
  <si>
    <t>Number of Employees</t>
  </si>
  <si>
    <t>Information Finder</t>
  </si>
  <si>
    <t>Department Name</t>
  </si>
  <si>
    <t>Based on department</t>
  </si>
  <si>
    <t>GENDER:</t>
  </si>
  <si>
    <t>COUNT</t>
  </si>
  <si>
    <t>max salary</t>
  </si>
  <si>
    <t>Average Salary</t>
  </si>
  <si>
    <t>Average Age</t>
  </si>
  <si>
    <t>female</t>
  </si>
  <si>
    <t>Column Labels</t>
  </si>
  <si>
    <t>Grand Total</t>
  </si>
  <si>
    <t>Count of Name</t>
  </si>
  <si>
    <t>Average of Age</t>
  </si>
  <si>
    <t>Row Labels</t>
  </si>
  <si>
    <t>Values</t>
  </si>
  <si>
    <t>Sum of Salary</t>
  </si>
  <si>
    <t>Average of Salary2</t>
  </si>
  <si>
    <t>Average of Tenure</t>
  </si>
  <si>
    <t>Bonus</t>
  </si>
  <si>
    <t>Average of Salary</t>
  </si>
  <si>
    <t>Rating As Number</t>
  </si>
  <si>
    <t>2020</t>
  </si>
  <si>
    <t>May</t>
  </si>
  <si>
    <t>Jun</t>
  </si>
  <si>
    <t>Jul</t>
  </si>
  <si>
    <t>Aug</t>
  </si>
  <si>
    <t>Sep</t>
  </si>
  <si>
    <t>Oct</t>
  </si>
  <si>
    <t>Nov</t>
  </si>
  <si>
    <t>Dec</t>
  </si>
  <si>
    <t>2021</t>
  </si>
  <si>
    <t>Jan</t>
  </si>
  <si>
    <t>Feb</t>
  </si>
  <si>
    <t>Mar</t>
  </si>
  <si>
    <t>Apr</t>
  </si>
  <si>
    <t>2022</t>
  </si>
  <si>
    <t>2023</t>
  </si>
  <si>
    <t>Count of Employees Joined</t>
  </si>
  <si>
    <t>Running Total</t>
  </si>
  <si>
    <t>Headcount</t>
  </si>
  <si>
    <t>Month-Year</t>
  </si>
  <si>
    <t>NEWZELAND</t>
  </si>
  <si>
    <t>INDIA</t>
  </si>
  <si>
    <t>Headcount by Department</t>
  </si>
  <si>
    <t>Rating Map Table:</t>
  </si>
  <si>
    <t>type the name here</t>
  </si>
  <si>
    <t>India Total</t>
  </si>
  <si>
    <t>nz Total</t>
  </si>
  <si>
    <t>percent of gender</t>
  </si>
  <si>
    <t>amount of gender</t>
  </si>
  <si>
    <t>Count of Employees</t>
  </si>
  <si>
    <t>Average Tenure</t>
  </si>
  <si>
    <t>Female Ratio %</t>
  </si>
  <si>
    <t>Ratio of 90,000$&gt;</t>
  </si>
  <si>
    <t>Median</t>
  </si>
  <si>
    <t>Type Here The Department</t>
  </si>
  <si>
    <t>Type Here The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</si>
</sst>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00"/>
    <numFmt numFmtId="165" formatCode="0.0"/>
    <numFmt numFmtId="166" formatCode="_(&quot;$&quot;* #,##0_);_(&quot;$&quot;* \(#,##0\);_(&quot;$&quot;* &quot;-&quot;??_);_(@_)"/>
    <numFmt numFmtId="167" formatCode="[$-409]mmm\-yy;@"/>
    <numFmt numFmtId="168" formatCode="0.0%"/>
  </numFmts>
  <fonts count="16" x14ac:knownFonts="1">
    <font>
      <sz val="11"/>
      <color theme="1"/>
      <name val="Calibri"/>
      <family val="2"/>
      <scheme val="minor"/>
    </font>
    <font>
      <sz val="28"/>
      <color theme="1"/>
      <name val="Segoe UI Light"/>
      <family val="2"/>
    </font>
    <font>
      <sz val="11"/>
      <color theme="1"/>
      <name val="Calibri"/>
      <family val="2"/>
      <scheme val="minor"/>
    </font>
    <font>
      <sz val="18"/>
      <color theme="1"/>
      <name val="Calibri"/>
      <family val="2"/>
      <scheme val="minor"/>
    </font>
    <font>
      <b/>
      <sz val="14"/>
      <color theme="1"/>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22"/>
      <color theme="1"/>
      <name val="Arial Black"/>
      <family val="2"/>
    </font>
    <font>
      <b/>
      <sz val="22"/>
      <color theme="5" tint="0.59999389629810485"/>
      <name val="Arial Black"/>
      <family val="2"/>
    </font>
    <font>
      <b/>
      <sz val="22"/>
      <color theme="4" tint="0.59999389629810485"/>
      <name val="Arial Black"/>
      <family val="2"/>
    </font>
    <font>
      <b/>
      <sz val="22"/>
      <color theme="1" tint="0.34998626667073579"/>
      <name val="Calibri"/>
      <family val="2"/>
      <scheme val="minor"/>
    </font>
    <font>
      <b/>
      <sz val="22"/>
      <color theme="1"/>
      <name val="Calibri"/>
      <family val="2"/>
      <scheme val="minor"/>
    </font>
    <font>
      <b/>
      <sz val="36"/>
      <color theme="0"/>
      <name val="Segoe UI Black"/>
      <family val="2"/>
    </font>
    <font>
      <b/>
      <sz val="22"/>
      <color theme="0"/>
      <name val="Segoe UI Black"/>
      <family val="2"/>
    </font>
    <font>
      <b/>
      <sz val="16"/>
      <color theme="1"/>
      <name val="Calibri"/>
      <family val="2"/>
      <scheme val="minor"/>
    </font>
  </fonts>
  <fills count="14">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rgb="FFFCF9D4"/>
        <bgColor indexed="64"/>
      </patternFill>
    </fill>
    <fill>
      <patternFill patternType="solid">
        <fgColor rgb="FFFFFF00"/>
        <bgColor indexed="64"/>
      </patternFill>
    </fill>
    <fill>
      <patternFill patternType="solid">
        <fgColor theme="7"/>
        <bgColor indexed="64"/>
      </patternFill>
    </fill>
    <fill>
      <patternFill patternType="solid">
        <fgColor theme="6"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8" tint="0.79998168889431442"/>
        <bgColor indexed="64"/>
      </patternFill>
    </fill>
  </fills>
  <borders count="7">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58">
    <xf numFmtId="0" fontId="0" fillId="0" borderId="0" xfId="0"/>
    <xf numFmtId="0" fontId="0" fillId="2" borderId="0" xfId="0" applyFill="1" applyAlignment="1">
      <alignment horizontal="center" vertical="center"/>
    </xf>
    <xf numFmtId="0" fontId="0" fillId="3" borderId="0" xfId="0" applyFill="1" applyAlignment="1">
      <alignment horizontal="center" vertical="center"/>
    </xf>
    <xf numFmtId="0" fontId="1" fillId="3" borderId="0" xfId="0" applyFont="1" applyFill="1" applyAlignment="1">
      <alignment horizontal="center" vertical="center"/>
    </xf>
    <xf numFmtId="0" fontId="0" fillId="0" borderId="0" xfId="0" applyAlignment="1">
      <alignment horizontal="center" vertical="center"/>
    </xf>
    <xf numFmtId="15" fontId="0" fillId="0" borderId="0" xfId="0" applyNumberFormat="1" applyAlignment="1">
      <alignment horizontal="center" vertical="center"/>
    </xf>
    <xf numFmtId="44" fontId="0" fillId="0" borderId="0" xfId="1" applyFont="1" applyAlignment="1">
      <alignment horizontal="center" vertical="center"/>
    </xf>
    <xf numFmtId="44" fontId="0" fillId="0" borderId="0" xfId="1" applyFont="1"/>
    <xf numFmtId="44" fontId="0" fillId="3" borderId="0" xfId="1" applyFont="1" applyFill="1" applyAlignment="1">
      <alignment horizontal="center" vertical="center"/>
    </xf>
    <xf numFmtId="44" fontId="2" fillId="0" borderId="0" xfId="1" applyFont="1"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0" fontId="3" fillId="0" borderId="0" xfId="0" applyFont="1"/>
    <xf numFmtId="0" fontId="3" fillId="0" borderId="0" xfId="0" applyFont="1" applyAlignment="1">
      <alignment horizontal="center" vertical="center"/>
    </xf>
    <xf numFmtId="0" fontId="4" fillId="0" borderId="0" xfId="0" applyFont="1" applyAlignment="1">
      <alignment horizontal="center" vertical="center"/>
    </xf>
    <xf numFmtId="0" fontId="4" fillId="5" borderId="0" xfId="0" applyFont="1" applyFill="1" applyAlignment="1">
      <alignment horizontal="center" vertical="center"/>
    </xf>
    <xf numFmtId="0" fontId="4" fillId="6" borderId="1" xfId="0" applyFont="1" applyFill="1" applyBorder="1" applyAlignment="1">
      <alignment horizontal="center" vertical="center"/>
    </xf>
    <xf numFmtId="0" fontId="0" fillId="7" borderId="2" xfId="0" applyFill="1" applyBorder="1" applyAlignment="1">
      <alignment horizontal="center" vertical="center"/>
    </xf>
    <xf numFmtId="14" fontId="0" fillId="7" borderId="2" xfId="0" applyNumberFormat="1" applyFill="1" applyBorder="1" applyAlignment="1">
      <alignment horizontal="center" vertical="center"/>
    </xf>
    <xf numFmtId="44" fontId="0" fillId="7" borderId="2" xfId="1" applyFont="1" applyFill="1" applyBorder="1" applyAlignment="1">
      <alignment horizontal="center" vertical="center"/>
    </xf>
    <xf numFmtId="2" fontId="0" fillId="7" borderId="2" xfId="0" applyNumberFormat="1" applyFill="1" applyBorder="1" applyAlignment="1">
      <alignment horizontal="center" vertical="center"/>
    </xf>
    <xf numFmtId="165" fontId="0" fillId="0" borderId="0" xfId="0" applyNumberFormat="1"/>
    <xf numFmtId="1" fontId="0" fillId="0" borderId="0" xfId="0" applyNumberFormat="1"/>
    <xf numFmtId="0" fontId="6" fillId="5" borderId="0" xfId="0" applyFont="1" applyFill="1" applyAlignment="1">
      <alignment horizontal="center" vertical="center"/>
    </xf>
    <xf numFmtId="0" fontId="5" fillId="5" borderId="0" xfId="0" applyFont="1" applyFill="1" applyAlignment="1">
      <alignment horizontal="center" vertical="center"/>
    </xf>
    <xf numFmtId="1" fontId="5" fillId="5" borderId="0" xfId="0" applyNumberFormat="1" applyFont="1" applyFill="1" applyAlignment="1">
      <alignment horizontal="center" vertical="center"/>
    </xf>
    <xf numFmtId="0" fontId="7" fillId="0" borderId="0" xfId="0" applyFont="1"/>
    <xf numFmtId="0" fontId="0" fillId="0" borderId="0" xfId="0" pivotButton="1"/>
    <xf numFmtId="0" fontId="0" fillId="0" borderId="0" xfId="0" applyAlignment="1">
      <alignment horizontal="left"/>
    </xf>
    <xf numFmtId="166" fontId="0" fillId="0" borderId="0" xfId="1" applyNumberFormat="1" applyFont="1" applyAlignment="1">
      <alignment horizontal="center" vertical="center"/>
    </xf>
    <xf numFmtId="0" fontId="0" fillId="8" borderId="2" xfId="0" applyFill="1" applyBorder="1" applyAlignment="1">
      <alignment horizontal="left"/>
    </xf>
    <xf numFmtId="0" fontId="0" fillId="8" borderId="2" xfId="0" applyFill="1" applyBorder="1" applyAlignment="1">
      <alignment horizontal="center" vertical="center"/>
    </xf>
    <xf numFmtId="0" fontId="3" fillId="5" borderId="3" xfId="0" applyFont="1" applyFill="1" applyBorder="1"/>
    <xf numFmtId="0" fontId="5" fillId="5" borderId="4" xfId="0" applyFont="1" applyFill="1" applyBorder="1"/>
    <xf numFmtId="0" fontId="0" fillId="11" borderId="0" xfId="0" applyFill="1"/>
    <xf numFmtId="0" fontId="0" fillId="11" borderId="0" xfId="0" applyFill="1" applyAlignment="1">
      <alignment horizontal="center" vertical="center"/>
    </xf>
    <xf numFmtId="0" fontId="0" fillId="0" borderId="0" xfId="0" pivotButton="1" applyAlignment="1">
      <alignment horizontal="center" vertical="center"/>
    </xf>
    <xf numFmtId="167" fontId="0" fillId="0" borderId="0" xfId="0" applyNumberFormat="1" applyAlignment="1">
      <alignment horizontal="center" vertical="center"/>
    </xf>
    <xf numFmtId="1" fontId="0" fillId="0" borderId="0" xfId="0" applyNumberFormat="1" applyAlignment="1">
      <alignment horizontal="center" vertical="center"/>
    </xf>
    <xf numFmtId="9" fontId="13" fillId="12" borderId="0" xfId="2" applyFont="1" applyFill="1" applyBorder="1" applyAlignment="1">
      <alignment horizontal="center" vertical="center"/>
    </xf>
    <xf numFmtId="0" fontId="13" fillId="10" borderId="0" xfId="0" applyFont="1" applyFill="1" applyAlignment="1">
      <alignment horizontal="center" vertical="center"/>
    </xf>
    <xf numFmtId="9" fontId="13" fillId="10" borderId="0" xfId="2" applyFont="1" applyFill="1" applyBorder="1" applyAlignment="1">
      <alignment horizontal="center" vertical="center"/>
    </xf>
    <xf numFmtId="44" fontId="14" fillId="10" borderId="0" xfId="1" applyFont="1" applyFill="1" applyBorder="1" applyAlignment="1">
      <alignment horizontal="center" vertical="center"/>
    </xf>
    <xf numFmtId="44" fontId="14" fillId="12" borderId="0" xfId="1" applyFont="1" applyFill="1" applyBorder="1" applyAlignment="1">
      <alignment horizontal="center" vertical="center"/>
    </xf>
    <xf numFmtId="0" fontId="13" fillId="12" borderId="0" xfId="0" applyFont="1" applyFill="1" applyAlignment="1">
      <alignment horizontal="center" vertical="center"/>
    </xf>
    <xf numFmtId="168" fontId="0" fillId="0" borderId="0" xfId="0" applyNumberFormat="1" applyAlignment="1">
      <alignment horizontal="center" vertical="center"/>
    </xf>
    <xf numFmtId="0" fontId="15" fillId="0" borderId="0" xfId="0" applyFont="1" applyAlignment="1">
      <alignment horizontal="center" vertical="center"/>
    </xf>
    <xf numFmtId="0" fontId="15" fillId="4" borderId="2" xfId="0" applyFont="1" applyFill="1" applyBorder="1" applyAlignment="1">
      <alignment horizontal="center" vertical="center"/>
    </xf>
    <xf numFmtId="44" fontId="15" fillId="4" borderId="2" xfId="1" applyFont="1" applyFill="1" applyBorder="1" applyAlignment="1">
      <alignment horizontal="center" vertical="center"/>
    </xf>
    <xf numFmtId="9" fontId="15" fillId="4" borderId="2" xfId="2" applyFont="1" applyFill="1" applyBorder="1" applyAlignment="1">
      <alignment horizontal="center" vertical="center"/>
    </xf>
    <xf numFmtId="0" fontId="15" fillId="11" borderId="0" xfId="0" applyFont="1" applyFill="1" applyAlignment="1">
      <alignment horizontal="center" vertical="center"/>
    </xf>
    <xf numFmtId="0" fontId="15" fillId="13" borderId="2" xfId="0" applyFont="1" applyFill="1" applyBorder="1" applyAlignment="1">
      <alignment horizontal="center" vertical="center"/>
    </xf>
    <xf numFmtId="0" fontId="12" fillId="8" borderId="5" xfId="0" applyFont="1" applyFill="1" applyBorder="1" applyAlignment="1">
      <alignment horizontal="center" vertical="center"/>
    </xf>
    <xf numFmtId="0" fontId="12" fillId="8" borderId="6" xfId="0" applyFont="1" applyFill="1" applyBorder="1" applyAlignment="1">
      <alignment horizontal="center" vertical="center"/>
    </xf>
    <xf numFmtId="0" fontId="10" fillId="11" borderId="0" xfId="0" applyFont="1" applyFill="1" applyAlignment="1">
      <alignment horizontal="center"/>
    </xf>
    <xf numFmtId="0" fontId="8" fillId="11" borderId="0" xfId="0" applyFont="1" applyFill="1" applyAlignment="1">
      <alignment horizontal="center"/>
    </xf>
    <xf numFmtId="0" fontId="9" fillId="11" borderId="0" xfId="0" applyFont="1" applyFill="1" applyAlignment="1">
      <alignment horizontal="center"/>
    </xf>
    <xf numFmtId="0" fontId="11" fillId="9" borderId="0" xfId="0" applyFont="1" applyFill="1" applyAlignment="1">
      <alignment horizontal="center"/>
    </xf>
  </cellXfs>
  <cellStyles count="3">
    <cellStyle name="Currency" xfId="1" builtinId="4"/>
    <cellStyle name="Normal" xfId="0" builtinId="0"/>
    <cellStyle name="Percent" xfId="2" builtinId="5"/>
  </cellStyles>
  <dxfs count="118">
    <dxf>
      <font>
        <color rgb="FF9C0006"/>
      </font>
      <fill>
        <patternFill>
          <bgColor rgb="FFFFC7CE"/>
        </patternFill>
      </fill>
    </dxf>
    <dxf>
      <font>
        <color rgb="FF9C0006"/>
      </font>
      <fill>
        <patternFill>
          <bgColor rgb="FFFFC7CE"/>
        </patternFill>
      </fill>
    </dxf>
    <dxf>
      <fill>
        <patternFill>
          <bgColor auto="1"/>
        </patternFill>
      </fill>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numFmt numFmtId="168" formatCode="0.0%"/>
    </dxf>
    <dxf>
      <numFmt numFmtId="168" formatCode="0.0%"/>
    </dxf>
    <dxf>
      <numFmt numFmtId="168"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alignment horizontal="center" vertical="center" textRotation="0" wrapText="0" indent="0" justifyLastLine="0" shrinkToFit="0" readingOrder="0"/>
    </dxf>
    <dxf>
      <numFmt numFmtId="166" formatCode="_(&quot;$&quot;* #,##0_);_(&quot;$&quot;* \(#,##0\);_(&quot;$&quot;* &quot;-&quot;??_);_(@_)"/>
      <alignment horizontal="center" vertical="center" textRotation="0" wrapText="0" indent="0" justifyLastLine="0" shrinkToFit="0" readingOrder="0"/>
    </dxf>
    <dxf>
      <numFmt numFmtId="164"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0" formatCode="d\-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C7EEFD"/>
      <color rgb="FFFFCCFF"/>
      <color rgb="FFECFFA7"/>
      <color rgb="FFFCF9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2.xml"/><Relationship Id="rId27" Type="http://schemas.openxmlformats.org/officeDocument/2006/relationships/sheetMetadata" Target="metadata.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[blank-data-file.xlsx]India vs NZ Pivot Table!PivotTable3</c:name>
    <c:fmtId val="3"/>
  </c:pivotSource>
  <c:chart>
    <c:autoTitleDeleted val="1"/>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'India vs NZ Pivot Table'!$C$4</c:f>
              <c:strCache>
                <c:ptCount val="1"/>
                <c:pt idx="0">
                  <c:v>Total</c:v>
                </c:pt>
              </c:strCache>
            </c:strRef>
          </c:tx>
          <c:spPr>
            <a:solidFill>
              <a:schemeClr val="accent2">
                <a:lumMod val="40000"/>
                <a:lumOff val="60000"/>
              </a:schemeClr>
            </a:solidFill>
            <a:ln>
              <a:noFill/>
            </a:ln>
            <a:effectLst/>
          </c:spPr>
          <c:invertIfNegative val="0"/>
          <c:cat>
            <c:strRef>
              <c:f>'India vs NZ Pivot Table'!$B$5:$B$9</c:f>
              <c:strCache>
                <c:ptCount val="5"/>
                <c:pt idx="0">
                  <c:v>Procurement</c:v>
                </c:pt>
                <c:pt idx="1">
                  <c:v>Website</c:v>
                </c:pt>
                <c:pt idx="2">
                  <c:v>Finance</c:v>
                </c:pt>
                <c:pt idx="3">
                  <c:v>Sales</c:v>
                </c:pt>
                <c:pt idx="4">
                  <c:v>HR</c:v>
                </c:pt>
              </c:strCache>
            </c:strRef>
          </c:cat>
          <c:val>
            <c:numRef>
              <c:f>'India vs NZ Pivot Table'!$C$5:$C$9</c:f>
              <c:numCache>
                <c:formatCode>General</c:formatCode>
                <c:ptCount val="5"/>
                <c:pt idx="0">
                  <c:v>28</c:v>
                </c:pt>
                <c:pt idx="1">
                  <c:v>27</c:v>
                </c:pt>
                <c:pt idx="2">
                  <c:v>19</c:v>
                </c:pt>
                <c:pt idx="3">
                  <c:v>14</c:v>
                </c:pt>
                <c:pt idx="4">
                  <c:v>4</c:v>
                </c:pt>
              </c:numCache>
            </c:numRef>
          </c:val>
          <c:extLst>
            <c:ext xmlns:c16="http://schemas.microsoft.com/office/drawing/2014/chart" uri="{C3380CC4-5D6E-409C-BE32-E72D297353CC}">
              <c16:uniqueId val="{00000000-4374-4E93-8560-CF1623A5D575}"/>
            </c:ext>
          </c:extLst>
        </c:ser>
        <c:dLbls>
          <c:showLegendKey val="0"/>
          <c:showVal val="0"/>
          <c:showCatName val="0"/>
          <c:showSerName val="0"/>
          <c:showPercent val="0"/>
          <c:showBubbleSize val="0"/>
        </c:dLbls>
        <c:gapWidth val="25"/>
        <c:axId val="1068418159"/>
        <c:axId val="1068429679"/>
      </c:barChart>
      <c:catAx>
        <c:axId val="10684181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29679"/>
        <c:crosses val="autoZero"/>
        <c:auto val="1"/>
        <c:lblAlgn val="ctr"/>
        <c:lblOffset val="100"/>
        <c:noMultiLvlLbl val="0"/>
      </c:catAx>
      <c:valAx>
        <c:axId val="106842967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1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[blank-data-file.xlsx]India vs NZ Pivot Table!PivotTable4</c:name>
    <c:fmtId val="5"/>
  </c:pivotSource>
  <c:chart>
    <c:autoTitleDeleted val="1"/>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'India vs NZ Pivot Table'!$J$4</c:f>
              <c:strCache>
                <c:ptCount val="1"/>
                <c:pt idx="0">
                  <c:v>Total</c:v>
                </c:pt>
              </c:strCache>
            </c:strRef>
          </c:tx>
          <c:spPr>
            <a:solidFill>
              <a:schemeClr val="accent1">
                <a:lumMod val="40000"/>
                <a:lumOff val="60000"/>
              </a:schemeClr>
            </a:solidFill>
            <a:ln>
              <a:noFill/>
            </a:ln>
            <a:effectLst/>
          </c:spPr>
          <c:invertIfNegative val="0"/>
          <c:cat>
            <c:strRef>
              <c:f>'India vs NZ Pivot Table'!$I$5:$I$9</c:f>
              <c:strCache>
                <c:ptCount val="5"/>
                <c:pt idx="0">
                  <c:v>Website</c:v>
                </c:pt>
                <c:pt idx="1">
                  <c:v>Procurement</c:v>
                </c:pt>
                <c:pt idx="2">
                  <c:v>Finance</c:v>
                </c:pt>
                <c:pt idx="3">
                  <c:v>Sales</c:v>
                </c:pt>
                <c:pt idx="4">
                  <c:v>HR</c:v>
                </c:pt>
              </c:strCache>
            </c:strRef>
          </c:cat>
          <c:val>
            <c:numRef>
              <c:f>'India vs NZ Pivot Table'!$J$5:$J$9</c:f>
              <c:numCache>
                <c:formatCode>General</c:formatCode>
                <c:ptCount val="5"/>
                <c:pt idx="0">
                  <c:v>27</c:v>
                </c:pt>
                <c:pt idx="1">
                  <c:v>27</c:v>
                </c:pt>
                <c:pt idx="2">
                  <c:v>19</c:v>
                </c:pt>
                <c:pt idx="3">
                  <c:v>14</c:v>
                </c:pt>
                <c:pt idx="4">
                  <c:v>4</c:v>
                </c:pt>
              </c:numCache>
            </c:numRef>
          </c:val>
          <c:extLst>
            <c:ext xmlns:c16="http://schemas.microsoft.com/office/drawing/2014/chart" uri="{C3380CC4-5D6E-409C-BE32-E72D297353CC}">
              <c16:uniqueId val="{00000000-50A3-44E2-A41A-464EE9094CD6}"/>
            </c:ext>
          </c:extLst>
        </c:ser>
        <c:dLbls>
          <c:showLegendKey val="0"/>
          <c:showVal val="0"/>
          <c:showCatName val="0"/>
          <c:showSerName val="0"/>
          <c:showPercent val="0"/>
          <c:showBubbleSize val="0"/>
        </c:dLbls>
        <c:gapWidth val="25"/>
        <c:axId val="1068442639"/>
        <c:axId val="1068426319"/>
      </c:barChart>
      <c:catAx>
        <c:axId val="10684426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26319"/>
        <c:crosses val="autoZero"/>
        <c:auto val="1"/>
        <c:lblAlgn val="ctr"/>
        <c:lblOffset val="100"/>
        <c:noMultiLvlLbl val="0"/>
      </c:catAx>
      <c:valAx>
        <c:axId val="106842631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4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[blank-data-file.xlsx]Employement Growth!PivotTable1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'Employement Growth'!$D$6</c:f>
              <c:strCache>
                <c:ptCount val="1"/>
                <c:pt idx="0">
                  <c:v>Count of Employees Joined</c:v>
                </c:pt>
              </c:strCache>
            </c:strRef>
          </c:tx>
          <c:spPr>
            <a:ln w="28575" cap="rnd">
              <a:solidFill>
                <a:schemeClr val="accent1"/>
              </a:solidFill>
              <a:round/>
            </a:ln>
            <a:effectLst/>
          </c:spPr>
          <c:marker>
            <c:symbol val="none"/>
          </c:marker>
          <c:cat>
            <c:multiLvlStrRef>
              <c:f>'Employement Growth'!$C$7:$C$43</c:f>
              <c:multiLvlStrCache>
                <c:ptCount val="3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pt idx="22">
                    <c:v>Mar</c:v>
                  </c:pt>
                  <c:pt idx="23">
                    <c:v>Apr</c:v>
                  </c:pt>
                  <c:pt idx="24">
                    <c:v>May</c:v>
                  </c:pt>
                  <c:pt idx="25">
                    <c:v>Jun</c:v>
                  </c:pt>
                  <c:pt idx="26">
                    <c:v>Jul</c:v>
                  </c:pt>
                  <c:pt idx="27">
                    <c:v>Aug</c:v>
                  </c:pt>
                  <c:pt idx="28">
                    <c:v>Sep</c:v>
                  </c:pt>
                  <c:pt idx="29">
                    <c:v>Oct</c:v>
                  </c:pt>
                  <c:pt idx="30">
                    <c:v>Feb</c:v>
                  </c:pt>
                  <c:pt idx="31">
                    <c:v>Apr</c:v>
                  </c:pt>
                </c:lvl>
                <c:lvl>
                  <c:pt idx="0">
                    <c:v>2020</c:v>
                  </c:pt>
                  <c:pt idx="8">
                    <c:v>2021</c:v>
                  </c:pt>
                  <c:pt idx="20">
                    <c:v>2022</c:v>
                  </c:pt>
                  <c:pt idx="30">
                    <c:v>2023</c:v>
                  </c:pt>
                </c:lvl>
              </c:multiLvlStrCache>
            </c:multiLvlStrRef>
          </c:cat>
          <c:val>
            <c:numRef>
              <c:f>'Employement Growth'!$D$7:$D$43</c:f>
              <c:numCache>
                <c:formatCode>General</c:formatCode>
                <c:ptCount val="32"/>
                <c:pt idx="0">
                  <c:v>3</c:v>
                </c:pt>
                <c:pt idx="1">
                  <c:v>1</c:v>
                </c:pt>
                <c:pt idx="2">
                  <c:v>5</c:v>
                </c:pt>
                <c:pt idx="3">
                  <c:v>3</c:v>
                </c:pt>
                <c:pt idx="4">
                  <c:v>6</c:v>
                </c:pt>
                <c:pt idx="5">
                  <c:v>6</c:v>
                </c:pt>
                <c:pt idx="6">
                  <c:v>6</c:v>
                </c:pt>
                <c:pt idx="7">
                  <c:v>7</c:v>
                </c:pt>
                <c:pt idx="8">
                  <c:v>6</c:v>
                </c:pt>
                <c:pt idx="9">
                  <c:v>4</c:v>
                </c:pt>
                <c:pt idx="10">
                  <c:v>9</c:v>
                </c:pt>
                <c:pt idx="11">
                  <c:v>5</c:v>
                </c:pt>
                <c:pt idx="12">
                  <c:v>10</c:v>
                </c:pt>
                <c:pt idx="13">
                  <c:v>6</c:v>
                </c:pt>
                <c:pt idx="14">
                  <c:v>13</c:v>
                </c:pt>
                <c:pt idx="15">
                  <c:v>4</c:v>
                </c:pt>
                <c:pt idx="16">
                  <c:v>11</c:v>
                </c:pt>
                <c:pt idx="17">
                  <c:v>3</c:v>
                </c:pt>
                <c:pt idx="18">
                  <c:v>4</c:v>
                </c:pt>
                <c:pt idx="19">
                  <c:v>7</c:v>
                </c:pt>
                <c:pt idx="20">
                  <c:v>3</c:v>
                </c:pt>
                <c:pt idx="21">
                  <c:v>10</c:v>
                </c:pt>
                <c:pt idx="22">
                  <c:v>9</c:v>
                </c:pt>
                <c:pt idx="23">
                  <c:v>9</c:v>
                </c:pt>
                <c:pt idx="24">
                  <c:v>9</c:v>
                </c:pt>
                <c:pt idx="25">
                  <c:v>7</c:v>
                </c:pt>
                <c:pt idx="26">
                  <c:v>5</c:v>
                </c:pt>
                <c:pt idx="27">
                  <c:v>5</c:v>
                </c:pt>
                <c:pt idx="28">
                  <c:v>2</c:v>
                </c:pt>
                <c:pt idx="29">
                  <c:v>3</c:v>
                </c:pt>
                <c:pt idx="30">
                  <c:v>1</c:v>
                </c:pt>
                <c:pt idx="31">
                  <c:v>1</c:v>
                </c:pt>
              </c:numCache>
            </c:numRef>
          </c:val>
          <c:smooth val="0"/>
          <c:extLst>
            <c:ext xmlns:c16="http://schemas.microsoft.com/office/drawing/2014/chart" uri="{C3380CC4-5D6E-409C-BE32-E72D297353CC}">
              <c16:uniqueId val="{00000000-353F-4340-9B9B-73A7EE41696C}"/>
            </c:ext>
          </c:extLst>
        </c:ser>
        <c:ser>
          <c:idx val="1"/>
          <c:order val="1"/>
          <c:tx>
            <c:strRef>
              <c:f>'Employement Growth'!$E$6</c:f>
              <c:strCache>
                <c:ptCount val="1"/>
                <c:pt idx="0">
                  <c:v>Running Total</c:v>
                </c:pt>
              </c:strCache>
            </c:strRef>
          </c:tx>
          <c:spPr>
            <a:ln w="28575" cap="rnd">
              <a:solidFill>
                <a:schemeClr val="accent2"/>
              </a:solidFill>
              <a:round/>
            </a:ln>
            <a:effectLst/>
          </c:spPr>
          <c:marker>
            <c:symbol val="none"/>
          </c:marker>
          <c:cat>
            <c:multiLvlStrRef>
              <c:f>'Employement Growth'!$C$7:$C$43</c:f>
              <c:multiLvlStrCache>
                <c:ptCount val="3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pt idx="22">
                    <c:v>Mar</c:v>
                  </c:pt>
                  <c:pt idx="23">
                    <c:v>Apr</c:v>
                  </c:pt>
                  <c:pt idx="24">
                    <c:v>May</c:v>
                  </c:pt>
                  <c:pt idx="25">
                    <c:v>Jun</c:v>
                  </c:pt>
                  <c:pt idx="26">
                    <c:v>Jul</c:v>
                  </c:pt>
                  <c:pt idx="27">
                    <c:v>Aug</c:v>
                  </c:pt>
                  <c:pt idx="28">
                    <c:v>Sep</c:v>
                  </c:pt>
                  <c:pt idx="29">
                    <c:v>Oct</c:v>
                  </c:pt>
                  <c:pt idx="30">
                    <c:v>Feb</c:v>
                  </c:pt>
                  <c:pt idx="31">
                    <c:v>Apr</c:v>
                  </c:pt>
                </c:lvl>
                <c:lvl>
                  <c:pt idx="0">
                    <c:v>2020</c:v>
                  </c:pt>
                  <c:pt idx="8">
                    <c:v>2021</c:v>
                  </c:pt>
                  <c:pt idx="20">
                    <c:v>2022</c:v>
                  </c:pt>
                  <c:pt idx="30">
                    <c:v>2023</c:v>
                  </c:pt>
                </c:lvl>
              </c:multiLvlStrCache>
            </c:multiLvlStrRef>
          </c:cat>
          <c:val>
            <c:numRef>
              <c:f>'Employement Growth'!$E$7:$E$43</c:f>
              <c:numCache>
                <c:formatCode>General</c:formatCode>
                <c:ptCount val="32"/>
                <c:pt idx="0">
                  <c:v>3</c:v>
                </c:pt>
                <c:pt idx="1">
                  <c:v>4</c:v>
                </c:pt>
                <c:pt idx="2">
                  <c:v>9</c:v>
                </c:pt>
                <c:pt idx="3">
                  <c:v>12</c:v>
                </c:pt>
                <c:pt idx="4">
                  <c:v>18</c:v>
                </c:pt>
                <c:pt idx="5">
                  <c:v>24</c:v>
                </c:pt>
                <c:pt idx="6">
                  <c:v>30</c:v>
                </c:pt>
                <c:pt idx="7">
                  <c:v>37</c:v>
                </c:pt>
                <c:pt idx="8">
                  <c:v>6</c:v>
                </c:pt>
                <c:pt idx="9">
                  <c:v>10</c:v>
                </c:pt>
                <c:pt idx="10">
                  <c:v>19</c:v>
                </c:pt>
                <c:pt idx="11">
                  <c:v>24</c:v>
                </c:pt>
                <c:pt idx="12">
                  <c:v>34</c:v>
                </c:pt>
                <c:pt idx="13">
                  <c:v>40</c:v>
                </c:pt>
                <c:pt idx="14">
                  <c:v>53</c:v>
                </c:pt>
                <c:pt idx="15">
                  <c:v>57</c:v>
                </c:pt>
                <c:pt idx="16">
                  <c:v>68</c:v>
                </c:pt>
                <c:pt idx="17">
                  <c:v>71</c:v>
                </c:pt>
                <c:pt idx="18">
                  <c:v>75</c:v>
                </c:pt>
                <c:pt idx="19">
                  <c:v>82</c:v>
                </c:pt>
                <c:pt idx="20">
                  <c:v>3</c:v>
                </c:pt>
                <c:pt idx="21">
                  <c:v>13</c:v>
                </c:pt>
                <c:pt idx="22">
                  <c:v>22</c:v>
                </c:pt>
                <c:pt idx="23">
                  <c:v>31</c:v>
                </c:pt>
                <c:pt idx="24">
                  <c:v>40</c:v>
                </c:pt>
                <c:pt idx="25">
                  <c:v>47</c:v>
                </c:pt>
                <c:pt idx="26">
                  <c:v>52</c:v>
                </c:pt>
                <c:pt idx="27">
                  <c:v>57</c:v>
                </c:pt>
                <c:pt idx="28">
                  <c:v>59</c:v>
                </c:pt>
                <c:pt idx="29">
                  <c:v>62</c:v>
                </c:pt>
                <c:pt idx="30">
                  <c:v>1</c:v>
                </c:pt>
                <c:pt idx="31">
                  <c:v>2</c:v>
                </c:pt>
              </c:numCache>
            </c:numRef>
          </c:val>
          <c:smooth val="0"/>
          <c:extLst>
            <c:ext xmlns:c16="http://schemas.microsoft.com/office/drawing/2014/chart" uri="{C3380CC4-5D6E-409C-BE32-E72D297353CC}">
              <c16:uniqueId val="{00000002-353F-4340-9B9B-73A7EE41696C}"/>
            </c:ext>
          </c:extLst>
        </c:ser>
        <c:dLbls>
          <c:showLegendKey val="0"/>
          <c:showVal val="0"/>
          <c:showCatName val="0"/>
          <c:showSerName val="0"/>
          <c:showPercent val="0"/>
          <c:showBubbleSize val="0"/>
        </c:dLbls>
        <c:smooth val="0"/>
        <c:axId val="1068457519"/>
        <c:axId val="1068468079"/>
      </c:lineChart>
      <c:catAx>
        <c:axId val="106845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68079"/>
        <c:crosses val="autoZero"/>
        <c:auto val="1"/>
        <c:lblAlgn val="ctr"/>
        <c:lblOffset val="100"/>
        <c:noMultiLvlLbl val="0"/>
      </c:catAx>
      <c:valAx>
        <c:axId val="106846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5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'Employement Growth'!$X$5</c:f>
              <c:strCache>
                <c:ptCount val="1"/>
                <c:pt idx="0">
                  <c:v>Running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'Employement Growth'!$V$6:$V$41</c:f>
              <c:numCache>
                <c:formatCode>[$-409]mmm\-yy;@</c:formatCode>
                <c:ptCount val="36"/>
                <c:pt idx="0">
                  <c:v>43952</c:v>
                </c:pt>
                <c:pt idx="1">
                  <c:v>43983</c:v>
                </c:pt>
                <c:pt idx="2">
                  <c:v>44013</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pt idx="31">
                  <c:v>44896</c:v>
                </c:pt>
                <c:pt idx="32">
                  <c:v>44927</c:v>
                </c:pt>
                <c:pt idx="33">
                  <c:v>44958</c:v>
                </c:pt>
                <c:pt idx="34">
                  <c:v>44986</c:v>
                </c:pt>
                <c:pt idx="35">
                  <c:v>45017</c:v>
                </c:pt>
              </c:numCache>
            </c:numRef>
          </c:cat>
          <c:val>
            <c:numRef>
              <c:f>'Employement Growth'!$X$6:$X$41</c:f>
              <c:numCache>
                <c:formatCode>General</c:formatCode>
                <c:ptCount val="36"/>
                <c:pt idx="0">
                  <c:v>3</c:v>
                </c:pt>
                <c:pt idx="1">
                  <c:v>4</c:v>
                </c:pt>
                <c:pt idx="2">
                  <c:v>9</c:v>
                </c:pt>
                <c:pt idx="3">
                  <c:v>12</c:v>
                </c:pt>
                <c:pt idx="4">
                  <c:v>18</c:v>
                </c:pt>
                <c:pt idx="5">
                  <c:v>24</c:v>
                </c:pt>
                <c:pt idx="6">
                  <c:v>30</c:v>
                </c:pt>
                <c:pt idx="7">
                  <c:v>37</c:v>
                </c:pt>
                <c:pt idx="8">
                  <c:v>43</c:v>
                </c:pt>
                <c:pt idx="9">
                  <c:v>47</c:v>
                </c:pt>
                <c:pt idx="10">
                  <c:v>56</c:v>
                </c:pt>
                <c:pt idx="11">
                  <c:v>61</c:v>
                </c:pt>
                <c:pt idx="12">
                  <c:v>71</c:v>
                </c:pt>
                <c:pt idx="13">
                  <c:v>77</c:v>
                </c:pt>
                <c:pt idx="14">
                  <c:v>90</c:v>
                </c:pt>
                <c:pt idx="15">
                  <c:v>94</c:v>
                </c:pt>
                <c:pt idx="16">
                  <c:v>105</c:v>
                </c:pt>
                <c:pt idx="17">
                  <c:v>108</c:v>
                </c:pt>
                <c:pt idx="18">
                  <c:v>112</c:v>
                </c:pt>
                <c:pt idx="19">
                  <c:v>119</c:v>
                </c:pt>
                <c:pt idx="20">
                  <c:v>122</c:v>
                </c:pt>
                <c:pt idx="21">
                  <c:v>132</c:v>
                </c:pt>
                <c:pt idx="22">
                  <c:v>141</c:v>
                </c:pt>
                <c:pt idx="23">
                  <c:v>150</c:v>
                </c:pt>
                <c:pt idx="24">
                  <c:v>159</c:v>
                </c:pt>
                <c:pt idx="25">
                  <c:v>166</c:v>
                </c:pt>
                <c:pt idx="26">
                  <c:v>171</c:v>
                </c:pt>
                <c:pt idx="27">
                  <c:v>176</c:v>
                </c:pt>
                <c:pt idx="28">
                  <c:v>178</c:v>
                </c:pt>
                <c:pt idx="29">
                  <c:v>181</c:v>
                </c:pt>
                <c:pt idx="30">
                  <c:v>181</c:v>
                </c:pt>
                <c:pt idx="31">
                  <c:v>181</c:v>
                </c:pt>
                <c:pt idx="32">
                  <c:v>181</c:v>
                </c:pt>
                <c:pt idx="33">
                  <c:v>182</c:v>
                </c:pt>
                <c:pt idx="34">
                  <c:v>182</c:v>
                </c:pt>
                <c:pt idx="35">
                  <c:v>183</c:v>
                </c:pt>
              </c:numCache>
            </c:numRef>
          </c:val>
          <c:smooth val="0"/>
          <c:extLst>
            <c:ext xmlns:c16="http://schemas.microsoft.com/office/drawing/2014/chart" uri="{C3380CC4-5D6E-409C-BE32-E72D297353CC}">
              <c16:uniqueId val="{00000000-FAB4-4BA4-9E3F-9EF167FF4FD3}"/>
            </c:ext>
          </c:extLst>
        </c:ser>
        <c:dLbls>
          <c:showLegendKey val="0"/>
          <c:showVal val="0"/>
          <c:showCatName val="0"/>
          <c:showSerName val="0"/>
          <c:showPercent val="0"/>
          <c:showBubbleSize val="0"/>
        </c:dLbls>
        <c:marker val="1"/>
        <c:smooth val="0"/>
        <c:axId val="1068446479"/>
        <c:axId val="1068439279"/>
      </c:lineChart>
      <c:dateAx>
        <c:axId val="1068446479"/>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39279"/>
        <c:crosses val="autoZero"/>
        <c:auto val="1"/>
        <c:lblOffset val="100"/>
        <c:baseTimeUnit val="months"/>
      </c:dateAx>
      <c:valAx>
        <c:axId val="106843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4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'All Staff'!$K$1</c:f>
              <c:strCache>
                <c:ptCount val="1"/>
                <c:pt idx="0">
                  <c:v>Rating As Number</c:v>
                </c:pt>
              </c:strCache>
            </c:strRef>
          </c:tx>
          <c:spPr>
            <a:ln w="19050" cap="rnd">
              <a:noFill/>
              <a:round/>
            </a:ln>
            <a:effectLst/>
          </c:spPr>
          <c:marker>
            <c:symbol val="circle"/>
            <c:size val="5"/>
            <c:spPr>
              <a:solidFill>
                <a:schemeClr val="accent1"/>
              </a:solidFill>
              <a:ln w="9525">
                <a:solidFill>
                  <a:schemeClr val="accent1"/>
                </a:solidFill>
              </a:ln>
              <a:effectLst/>
            </c:spPr>
          </c:marker>
          <c:xVal>
            <c:numRef>
              <c:f>('All Staff'!$F$2:$F$184,'All Staff'!$F$2:$F$184)</c:f>
              <c:numCache>
                <c:formatCode>_("$"* #,##0.00_);_("$"* \(#,##0.00\);_("$"* "-"??_);_(@_)</c:formatCode>
                <c:ptCount val="366"/>
                <c:pt idx="0">
                  <c:v>33920</c:v>
                </c:pt>
                <c:pt idx="1">
                  <c:v>33920</c:v>
                </c:pt>
                <c:pt idx="2">
                  <c:v>34980</c:v>
                </c:pt>
                <c:pt idx="3">
                  <c:v>34980</c:v>
                </c:pt>
                <c:pt idx="4">
                  <c:v>36040</c:v>
                </c:pt>
                <c:pt idx="5">
                  <c:v>36040</c:v>
                </c:pt>
                <c:pt idx="6">
                  <c:v>37920</c:v>
                </c:pt>
                <c:pt idx="7">
                  <c:v>37920</c:v>
                </c:pt>
                <c:pt idx="8">
                  <c:v>40400</c:v>
                </c:pt>
                <c:pt idx="9">
                  <c:v>40400</c:v>
                </c:pt>
                <c:pt idx="10">
                  <c:v>41570</c:v>
                </c:pt>
                <c:pt idx="11">
                  <c:v>41570</c:v>
                </c:pt>
                <c:pt idx="12">
                  <c:v>41980</c:v>
                </c:pt>
                <c:pt idx="13">
                  <c:v>41980</c:v>
                </c:pt>
                <c:pt idx="14">
                  <c:v>43510</c:v>
                </c:pt>
                <c:pt idx="15">
                  <c:v>43510</c:v>
                </c:pt>
                <c:pt idx="16">
                  <c:v>43840</c:v>
                </c:pt>
                <c:pt idx="17">
                  <c:v>43840</c:v>
                </c:pt>
                <c:pt idx="18">
                  <c:v>45510</c:v>
                </c:pt>
                <c:pt idx="19">
                  <c:v>45510</c:v>
                </c:pt>
                <c:pt idx="20">
                  <c:v>47360</c:v>
                </c:pt>
                <c:pt idx="21">
                  <c:v>47360</c:v>
                </c:pt>
                <c:pt idx="22">
                  <c:v>48170</c:v>
                </c:pt>
                <c:pt idx="23">
                  <c:v>48170</c:v>
                </c:pt>
                <c:pt idx="24">
                  <c:v>48530</c:v>
                </c:pt>
                <c:pt idx="25">
                  <c:v>48530</c:v>
                </c:pt>
                <c:pt idx="26">
                  <c:v>48950</c:v>
                </c:pt>
                <c:pt idx="27">
                  <c:v>48950</c:v>
                </c:pt>
                <c:pt idx="28">
                  <c:v>48980</c:v>
                </c:pt>
                <c:pt idx="29">
                  <c:v>48980</c:v>
                </c:pt>
                <c:pt idx="30">
                  <c:v>49630</c:v>
                </c:pt>
                <c:pt idx="31">
                  <c:v>49630</c:v>
                </c:pt>
                <c:pt idx="32">
                  <c:v>52610</c:v>
                </c:pt>
                <c:pt idx="33">
                  <c:v>52610</c:v>
                </c:pt>
                <c:pt idx="34">
                  <c:v>53240</c:v>
                </c:pt>
                <c:pt idx="35">
                  <c:v>53240</c:v>
                </c:pt>
                <c:pt idx="36">
                  <c:v>53540</c:v>
                </c:pt>
                <c:pt idx="37">
                  <c:v>53540</c:v>
                </c:pt>
                <c:pt idx="38">
                  <c:v>53540</c:v>
                </c:pt>
                <c:pt idx="39">
                  <c:v>53540</c:v>
                </c:pt>
                <c:pt idx="40">
                  <c:v>53870</c:v>
                </c:pt>
                <c:pt idx="41">
                  <c:v>53870</c:v>
                </c:pt>
                <c:pt idx="42">
                  <c:v>54970</c:v>
                </c:pt>
                <c:pt idx="43">
                  <c:v>54970</c:v>
                </c:pt>
                <c:pt idx="44">
                  <c:v>56870</c:v>
                </c:pt>
                <c:pt idx="45">
                  <c:v>56870</c:v>
                </c:pt>
                <c:pt idx="46">
                  <c:v>57090</c:v>
                </c:pt>
                <c:pt idx="47">
                  <c:v>57090</c:v>
                </c:pt>
                <c:pt idx="48">
                  <c:v>58100</c:v>
                </c:pt>
                <c:pt idx="49">
                  <c:v>58100</c:v>
                </c:pt>
                <c:pt idx="50">
                  <c:v>58940</c:v>
                </c:pt>
                <c:pt idx="51">
                  <c:v>58940</c:v>
                </c:pt>
                <c:pt idx="52">
                  <c:v>58960</c:v>
                </c:pt>
                <c:pt idx="53">
                  <c:v>58960</c:v>
                </c:pt>
                <c:pt idx="54">
                  <c:v>59430</c:v>
                </c:pt>
                <c:pt idx="55">
                  <c:v>59430</c:v>
                </c:pt>
                <c:pt idx="56">
                  <c:v>60130</c:v>
                </c:pt>
                <c:pt idx="57">
                  <c:v>60130</c:v>
                </c:pt>
                <c:pt idx="58">
                  <c:v>60570</c:v>
                </c:pt>
                <c:pt idx="59">
                  <c:v>60570</c:v>
                </c:pt>
                <c:pt idx="60">
                  <c:v>62780</c:v>
                </c:pt>
                <c:pt idx="61">
                  <c:v>62780</c:v>
                </c:pt>
                <c:pt idx="62">
                  <c:v>64000</c:v>
                </c:pt>
                <c:pt idx="63">
                  <c:v>64000</c:v>
                </c:pt>
                <c:pt idx="64">
                  <c:v>65360</c:v>
                </c:pt>
                <c:pt idx="65">
                  <c:v>65360</c:v>
                </c:pt>
                <c:pt idx="66">
                  <c:v>65700</c:v>
                </c:pt>
                <c:pt idx="67">
                  <c:v>65700</c:v>
                </c:pt>
                <c:pt idx="68">
                  <c:v>65920</c:v>
                </c:pt>
                <c:pt idx="69">
                  <c:v>65920</c:v>
                </c:pt>
                <c:pt idx="70">
                  <c:v>67910</c:v>
                </c:pt>
                <c:pt idx="71">
                  <c:v>67910</c:v>
                </c:pt>
                <c:pt idx="72">
                  <c:v>67950</c:v>
                </c:pt>
                <c:pt idx="73">
                  <c:v>67950</c:v>
                </c:pt>
                <c:pt idx="74">
                  <c:v>68900</c:v>
                </c:pt>
                <c:pt idx="75">
                  <c:v>68900</c:v>
                </c:pt>
                <c:pt idx="76">
                  <c:v>69070</c:v>
                </c:pt>
                <c:pt idx="77">
                  <c:v>69070</c:v>
                </c:pt>
                <c:pt idx="78">
                  <c:v>69120</c:v>
                </c:pt>
                <c:pt idx="79">
                  <c:v>69120</c:v>
                </c:pt>
                <c:pt idx="80">
                  <c:v>69710</c:v>
                </c:pt>
                <c:pt idx="81">
                  <c:v>69710</c:v>
                </c:pt>
                <c:pt idx="82">
                  <c:v>70270</c:v>
                </c:pt>
                <c:pt idx="83">
                  <c:v>70270</c:v>
                </c:pt>
                <c:pt idx="84">
                  <c:v>70610</c:v>
                </c:pt>
                <c:pt idx="85">
                  <c:v>70610</c:v>
                </c:pt>
                <c:pt idx="86">
                  <c:v>71380</c:v>
                </c:pt>
                <c:pt idx="87">
                  <c:v>71380</c:v>
                </c:pt>
                <c:pt idx="88">
                  <c:v>74550</c:v>
                </c:pt>
                <c:pt idx="89">
                  <c:v>74550</c:v>
                </c:pt>
                <c:pt idx="90">
                  <c:v>75000</c:v>
                </c:pt>
                <c:pt idx="91">
                  <c:v>75000</c:v>
                </c:pt>
                <c:pt idx="92">
                  <c:v>75280</c:v>
                </c:pt>
                <c:pt idx="93">
                  <c:v>75280</c:v>
                </c:pt>
                <c:pt idx="94">
                  <c:v>75480</c:v>
                </c:pt>
                <c:pt idx="95">
                  <c:v>75480</c:v>
                </c:pt>
                <c:pt idx="96">
                  <c:v>75880</c:v>
                </c:pt>
                <c:pt idx="97">
                  <c:v>75880</c:v>
                </c:pt>
                <c:pt idx="98">
                  <c:v>75970</c:v>
                </c:pt>
                <c:pt idx="99">
                  <c:v>75970</c:v>
                </c:pt>
                <c:pt idx="100">
                  <c:v>76900</c:v>
                </c:pt>
                <c:pt idx="101">
                  <c:v>76900</c:v>
                </c:pt>
                <c:pt idx="102">
                  <c:v>78390</c:v>
                </c:pt>
                <c:pt idx="103">
                  <c:v>78390</c:v>
                </c:pt>
                <c:pt idx="104">
                  <c:v>78540</c:v>
                </c:pt>
                <c:pt idx="105">
                  <c:v>78540</c:v>
                </c:pt>
                <c:pt idx="106">
                  <c:v>79570</c:v>
                </c:pt>
                <c:pt idx="107">
                  <c:v>79570</c:v>
                </c:pt>
                <c:pt idx="108">
                  <c:v>80700</c:v>
                </c:pt>
                <c:pt idx="109">
                  <c:v>80700</c:v>
                </c:pt>
                <c:pt idx="110">
                  <c:v>83750</c:v>
                </c:pt>
                <c:pt idx="111">
                  <c:v>83750</c:v>
                </c:pt>
                <c:pt idx="112">
                  <c:v>85000</c:v>
                </c:pt>
                <c:pt idx="113">
                  <c:v>85000</c:v>
                </c:pt>
                <c:pt idx="114">
                  <c:v>86570</c:v>
                </c:pt>
                <c:pt idx="115">
                  <c:v>86570</c:v>
                </c:pt>
                <c:pt idx="116">
                  <c:v>87620</c:v>
                </c:pt>
                <c:pt idx="117">
                  <c:v>87620</c:v>
                </c:pt>
                <c:pt idx="118">
                  <c:v>88050</c:v>
                </c:pt>
                <c:pt idx="119">
                  <c:v>88050</c:v>
                </c:pt>
                <c:pt idx="120">
                  <c:v>90700</c:v>
                </c:pt>
                <c:pt idx="121">
                  <c:v>90700</c:v>
                </c:pt>
                <c:pt idx="122">
                  <c:v>91310</c:v>
                </c:pt>
                <c:pt idx="123">
                  <c:v>91310</c:v>
                </c:pt>
                <c:pt idx="124">
                  <c:v>91650</c:v>
                </c:pt>
                <c:pt idx="125">
                  <c:v>91650</c:v>
                </c:pt>
                <c:pt idx="126">
                  <c:v>92450</c:v>
                </c:pt>
                <c:pt idx="127">
                  <c:v>92450</c:v>
                </c:pt>
                <c:pt idx="128">
                  <c:v>92700</c:v>
                </c:pt>
                <c:pt idx="129">
                  <c:v>92700</c:v>
                </c:pt>
                <c:pt idx="130">
                  <c:v>96140</c:v>
                </c:pt>
                <c:pt idx="131">
                  <c:v>96140</c:v>
                </c:pt>
                <c:pt idx="132">
                  <c:v>96800</c:v>
                </c:pt>
                <c:pt idx="133">
                  <c:v>96800</c:v>
                </c:pt>
                <c:pt idx="134">
                  <c:v>99750</c:v>
                </c:pt>
                <c:pt idx="135">
                  <c:v>99750</c:v>
                </c:pt>
                <c:pt idx="136">
                  <c:v>99970</c:v>
                </c:pt>
                <c:pt idx="137">
                  <c:v>99970</c:v>
                </c:pt>
                <c:pt idx="138">
                  <c:v>100420</c:v>
                </c:pt>
                <c:pt idx="139">
                  <c:v>100420</c:v>
                </c:pt>
                <c:pt idx="140">
                  <c:v>103550</c:v>
                </c:pt>
                <c:pt idx="141">
                  <c:v>103550</c:v>
                </c:pt>
                <c:pt idx="142">
                  <c:v>104120</c:v>
                </c:pt>
                <c:pt idx="143">
                  <c:v>104120</c:v>
                </c:pt>
                <c:pt idx="144">
                  <c:v>104410</c:v>
                </c:pt>
                <c:pt idx="145">
                  <c:v>104410</c:v>
                </c:pt>
                <c:pt idx="146">
                  <c:v>104770</c:v>
                </c:pt>
                <c:pt idx="147">
                  <c:v>104770</c:v>
                </c:pt>
                <c:pt idx="148">
                  <c:v>106460</c:v>
                </c:pt>
                <c:pt idx="149">
                  <c:v>106460</c:v>
                </c:pt>
                <c:pt idx="150">
                  <c:v>107700</c:v>
                </c:pt>
                <c:pt idx="151">
                  <c:v>107700</c:v>
                </c:pt>
                <c:pt idx="152">
                  <c:v>109160</c:v>
                </c:pt>
                <c:pt idx="153">
                  <c:v>109160</c:v>
                </c:pt>
                <c:pt idx="154">
                  <c:v>109190</c:v>
                </c:pt>
                <c:pt idx="155">
                  <c:v>109190</c:v>
                </c:pt>
                <c:pt idx="156">
                  <c:v>112110</c:v>
                </c:pt>
                <c:pt idx="157">
                  <c:v>112110</c:v>
                </c:pt>
                <c:pt idx="158">
                  <c:v>112570</c:v>
                </c:pt>
                <c:pt idx="159">
                  <c:v>112570</c:v>
                </c:pt>
                <c:pt idx="160">
                  <c:v>112650</c:v>
                </c:pt>
                <c:pt idx="161">
                  <c:v>112650</c:v>
                </c:pt>
                <c:pt idx="162">
                  <c:v>112650</c:v>
                </c:pt>
                <c:pt idx="163">
                  <c:v>112780</c:v>
                </c:pt>
                <c:pt idx="164">
                  <c:v>112780</c:v>
                </c:pt>
                <c:pt idx="165">
                  <c:v>113280</c:v>
                </c:pt>
                <c:pt idx="166">
                  <c:v>113280</c:v>
                </c:pt>
                <c:pt idx="167">
                  <c:v>114180</c:v>
                </c:pt>
                <c:pt idx="168">
                  <c:v>114180</c:v>
                </c:pt>
                <c:pt idx="169">
                  <c:v>114870</c:v>
                </c:pt>
                <c:pt idx="170">
                  <c:v>114870</c:v>
                </c:pt>
                <c:pt idx="171">
                  <c:v>114890</c:v>
                </c:pt>
                <c:pt idx="172">
                  <c:v>114890</c:v>
                </c:pt>
                <c:pt idx="173">
                  <c:v>115440</c:v>
                </c:pt>
                <c:pt idx="174">
                  <c:v>115440</c:v>
                </c:pt>
                <c:pt idx="175">
                  <c:v>115920</c:v>
                </c:pt>
                <c:pt idx="176">
                  <c:v>115920</c:v>
                </c:pt>
                <c:pt idx="177">
                  <c:v>118100</c:v>
                </c:pt>
                <c:pt idx="178">
                  <c:v>118100</c:v>
                </c:pt>
                <c:pt idx="179">
                  <c:v>118840</c:v>
                </c:pt>
                <c:pt idx="180">
                  <c:v>118840</c:v>
                </c:pt>
                <c:pt idx="181">
                  <c:v>119110</c:v>
                </c:pt>
                <c:pt idx="182">
                  <c:v>119110</c:v>
                </c:pt>
                <c:pt idx="183">
                  <c:v>33920</c:v>
                </c:pt>
                <c:pt idx="184">
                  <c:v>33920</c:v>
                </c:pt>
                <c:pt idx="185">
                  <c:v>34980</c:v>
                </c:pt>
                <c:pt idx="186">
                  <c:v>34980</c:v>
                </c:pt>
                <c:pt idx="187">
                  <c:v>36040</c:v>
                </c:pt>
                <c:pt idx="188">
                  <c:v>36040</c:v>
                </c:pt>
                <c:pt idx="189">
                  <c:v>37920</c:v>
                </c:pt>
                <c:pt idx="190">
                  <c:v>37920</c:v>
                </c:pt>
                <c:pt idx="191">
                  <c:v>40400</c:v>
                </c:pt>
                <c:pt idx="192">
                  <c:v>40400</c:v>
                </c:pt>
                <c:pt idx="193">
                  <c:v>41570</c:v>
                </c:pt>
                <c:pt idx="194">
                  <c:v>41570</c:v>
                </c:pt>
                <c:pt idx="195">
                  <c:v>41980</c:v>
                </c:pt>
                <c:pt idx="196">
                  <c:v>41980</c:v>
                </c:pt>
                <c:pt idx="197">
                  <c:v>43510</c:v>
                </c:pt>
                <c:pt idx="198">
                  <c:v>43510</c:v>
                </c:pt>
                <c:pt idx="199">
                  <c:v>43840</c:v>
                </c:pt>
                <c:pt idx="200">
                  <c:v>43840</c:v>
                </c:pt>
                <c:pt idx="201">
                  <c:v>45510</c:v>
                </c:pt>
                <c:pt idx="202">
                  <c:v>45510</c:v>
                </c:pt>
                <c:pt idx="203">
                  <c:v>47360</c:v>
                </c:pt>
                <c:pt idx="204">
                  <c:v>47360</c:v>
                </c:pt>
                <c:pt idx="205">
                  <c:v>48170</c:v>
                </c:pt>
                <c:pt idx="206">
                  <c:v>48170</c:v>
                </c:pt>
                <c:pt idx="207">
                  <c:v>48530</c:v>
                </c:pt>
                <c:pt idx="208">
                  <c:v>48530</c:v>
                </c:pt>
                <c:pt idx="209">
                  <c:v>48950</c:v>
                </c:pt>
                <c:pt idx="210">
                  <c:v>48950</c:v>
                </c:pt>
                <c:pt idx="211">
                  <c:v>48980</c:v>
                </c:pt>
                <c:pt idx="212">
                  <c:v>48980</c:v>
                </c:pt>
                <c:pt idx="213">
                  <c:v>49630</c:v>
                </c:pt>
                <c:pt idx="214">
                  <c:v>49630</c:v>
                </c:pt>
                <c:pt idx="215">
                  <c:v>52610</c:v>
                </c:pt>
                <c:pt idx="216">
                  <c:v>52610</c:v>
                </c:pt>
                <c:pt idx="217">
                  <c:v>53240</c:v>
                </c:pt>
                <c:pt idx="218">
                  <c:v>53240</c:v>
                </c:pt>
                <c:pt idx="219">
                  <c:v>53540</c:v>
                </c:pt>
                <c:pt idx="220">
                  <c:v>53540</c:v>
                </c:pt>
                <c:pt idx="221">
                  <c:v>53540</c:v>
                </c:pt>
                <c:pt idx="222">
                  <c:v>53540</c:v>
                </c:pt>
                <c:pt idx="223">
                  <c:v>53870</c:v>
                </c:pt>
                <c:pt idx="224">
                  <c:v>53870</c:v>
                </c:pt>
                <c:pt idx="225">
                  <c:v>54970</c:v>
                </c:pt>
                <c:pt idx="226">
                  <c:v>54970</c:v>
                </c:pt>
                <c:pt idx="227">
                  <c:v>56870</c:v>
                </c:pt>
                <c:pt idx="228">
                  <c:v>56870</c:v>
                </c:pt>
                <c:pt idx="229">
                  <c:v>57090</c:v>
                </c:pt>
                <c:pt idx="230">
                  <c:v>57090</c:v>
                </c:pt>
                <c:pt idx="231">
                  <c:v>58100</c:v>
                </c:pt>
                <c:pt idx="232">
                  <c:v>58100</c:v>
                </c:pt>
                <c:pt idx="233">
                  <c:v>58940</c:v>
                </c:pt>
                <c:pt idx="234">
                  <c:v>58940</c:v>
                </c:pt>
                <c:pt idx="235">
                  <c:v>58960</c:v>
                </c:pt>
                <c:pt idx="236">
                  <c:v>58960</c:v>
                </c:pt>
                <c:pt idx="237">
                  <c:v>59430</c:v>
                </c:pt>
                <c:pt idx="238">
                  <c:v>59430</c:v>
                </c:pt>
                <c:pt idx="239">
                  <c:v>60130</c:v>
                </c:pt>
                <c:pt idx="240">
                  <c:v>60130</c:v>
                </c:pt>
                <c:pt idx="241">
                  <c:v>60570</c:v>
                </c:pt>
                <c:pt idx="242">
                  <c:v>60570</c:v>
                </c:pt>
                <c:pt idx="243">
                  <c:v>62780</c:v>
                </c:pt>
                <c:pt idx="244">
                  <c:v>62780</c:v>
                </c:pt>
                <c:pt idx="245">
                  <c:v>64000</c:v>
                </c:pt>
                <c:pt idx="246">
                  <c:v>64000</c:v>
                </c:pt>
                <c:pt idx="247">
                  <c:v>65360</c:v>
                </c:pt>
                <c:pt idx="248">
                  <c:v>65360</c:v>
                </c:pt>
                <c:pt idx="249">
                  <c:v>65700</c:v>
                </c:pt>
                <c:pt idx="250">
                  <c:v>65700</c:v>
                </c:pt>
                <c:pt idx="251">
                  <c:v>65920</c:v>
                </c:pt>
                <c:pt idx="252">
                  <c:v>65920</c:v>
                </c:pt>
                <c:pt idx="253">
                  <c:v>67910</c:v>
                </c:pt>
                <c:pt idx="254">
                  <c:v>67910</c:v>
                </c:pt>
                <c:pt idx="255">
                  <c:v>67950</c:v>
                </c:pt>
                <c:pt idx="256">
                  <c:v>67950</c:v>
                </c:pt>
                <c:pt idx="257">
                  <c:v>68900</c:v>
                </c:pt>
                <c:pt idx="258">
                  <c:v>68900</c:v>
                </c:pt>
                <c:pt idx="259">
                  <c:v>69070</c:v>
                </c:pt>
                <c:pt idx="260">
                  <c:v>69070</c:v>
                </c:pt>
                <c:pt idx="261">
                  <c:v>69120</c:v>
                </c:pt>
                <c:pt idx="262">
                  <c:v>69120</c:v>
                </c:pt>
                <c:pt idx="263">
                  <c:v>69710</c:v>
                </c:pt>
                <c:pt idx="264">
                  <c:v>69710</c:v>
                </c:pt>
                <c:pt idx="265">
                  <c:v>70270</c:v>
                </c:pt>
                <c:pt idx="266">
                  <c:v>70270</c:v>
                </c:pt>
                <c:pt idx="267">
                  <c:v>70610</c:v>
                </c:pt>
                <c:pt idx="268">
                  <c:v>70610</c:v>
                </c:pt>
                <c:pt idx="269">
                  <c:v>71380</c:v>
                </c:pt>
                <c:pt idx="270">
                  <c:v>71380</c:v>
                </c:pt>
                <c:pt idx="271">
                  <c:v>74550</c:v>
                </c:pt>
                <c:pt idx="272">
                  <c:v>74550</c:v>
                </c:pt>
                <c:pt idx="273">
                  <c:v>75000</c:v>
                </c:pt>
                <c:pt idx="274">
                  <c:v>75000</c:v>
                </c:pt>
                <c:pt idx="275">
                  <c:v>75280</c:v>
                </c:pt>
                <c:pt idx="276">
                  <c:v>75280</c:v>
                </c:pt>
                <c:pt idx="277">
                  <c:v>75480</c:v>
                </c:pt>
                <c:pt idx="278">
                  <c:v>75480</c:v>
                </c:pt>
                <c:pt idx="279">
                  <c:v>75880</c:v>
                </c:pt>
                <c:pt idx="280">
                  <c:v>75880</c:v>
                </c:pt>
                <c:pt idx="281">
                  <c:v>75970</c:v>
                </c:pt>
                <c:pt idx="282">
                  <c:v>75970</c:v>
                </c:pt>
                <c:pt idx="283">
                  <c:v>76900</c:v>
                </c:pt>
                <c:pt idx="284">
                  <c:v>76900</c:v>
                </c:pt>
                <c:pt idx="285">
                  <c:v>78390</c:v>
                </c:pt>
                <c:pt idx="286">
                  <c:v>78390</c:v>
                </c:pt>
                <c:pt idx="287">
                  <c:v>78540</c:v>
                </c:pt>
                <c:pt idx="288">
                  <c:v>78540</c:v>
                </c:pt>
                <c:pt idx="289">
                  <c:v>79570</c:v>
                </c:pt>
                <c:pt idx="290">
                  <c:v>79570</c:v>
                </c:pt>
                <c:pt idx="291">
                  <c:v>80700</c:v>
                </c:pt>
                <c:pt idx="292">
                  <c:v>80700</c:v>
                </c:pt>
                <c:pt idx="293">
                  <c:v>83750</c:v>
                </c:pt>
                <c:pt idx="294">
                  <c:v>83750</c:v>
                </c:pt>
                <c:pt idx="295">
                  <c:v>85000</c:v>
                </c:pt>
                <c:pt idx="296">
                  <c:v>85000</c:v>
                </c:pt>
                <c:pt idx="297">
                  <c:v>86570</c:v>
                </c:pt>
                <c:pt idx="298">
                  <c:v>86570</c:v>
                </c:pt>
                <c:pt idx="299">
                  <c:v>87620</c:v>
                </c:pt>
                <c:pt idx="300">
                  <c:v>87620</c:v>
                </c:pt>
                <c:pt idx="301">
                  <c:v>88050</c:v>
                </c:pt>
                <c:pt idx="302">
                  <c:v>88050</c:v>
                </c:pt>
                <c:pt idx="303">
                  <c:v>90700</c:v>
                </c:pt>
                <c:pt idx="304">
                  <c:v>90700</c:v>
                </c:pt>
                <c:pt idx="305">
                  <c:v>91310</c:v>
                </c:pt>
                <c:pt idx="306">
                  <c:v>91310</c:v>
                </c:pt>
                <c:pt idx="307">
                  <c:v>91650</c:v>
                </c:pt>
                <c:pt idx="308">
                  <c:v>91650</c:v>
                </c:pt>
                <c:pt idx="309">
                  <c:v>92450</c:v>
                </c:pt>
                <c:pt idx="310">
                  <c:v>92450</c:v>
                </c:pt>
                <c:pt idx="311">
                  <c:v>92700</c:v>
                </c:pt>
                <c:pt idx="312">
                  <c:v>92700</c:v>
                </c:pt>
                <c:pt idx="313">
                  <c:v>96140</c:v>
                </c:pt>
                <c:pt idx="314">
                  <c:v>96140</c:v>
                </c:pt>
                <c:pt idx="315">
                  <c:v>96800</c:v>
                </c:pt>
                <c:pt idx="316">
                  <c:v>96800</c:v>
                </c:pt>
                <c:pt idx="317">
                  <c:v>99750</c:v>
                </c:pt>
                <c:pt idx="318">
                  <c:v>99750</c:v>
                </c:pt>
                <c:pt idx="319">
                  <c:v>99970</c:v>
                </c:pt>
                <c:pt idx="320">
                  <c:v>99970</c:v>
                </c:pt>
                <c:pt idx="321">
                  <c:v>100420</c:v>
                </c:pt>
                <c:pt idx="322">
                  <c:v>100420</c:v>
                </c:pt>
                <c:pt idx="323">
                  <c:v>103550</c:v>
                </c:pt>
                <c:pt idx="324">
                  <c:v>103550</c:v>
                </c:pt>
                <c:pt idx="325">
                  <c:v>104120</c:v>
                </c:pt>
                <c:pt idx="326">
                  <c:v>104120</c:v>
                </c:pt>
                <c:pt idx="327">
                  <c:v>104410</c:v>
                </c:pt>
                <c:pt idx="328">
                  <c:v>104410</c:v>
                </c:pt>
                <c:pt idx="329">
                  <c:v>104770</c:v>
                </c:pt>
                <c:pt idx="330">
                  <c:v>104770</c:v>
                </c:pt>
                <c:pt idx="331">
                  <c:v>106460</c:v>
                </c:pt>
                <c:pt idx="332">
                  <c:v>106460</c:v>
                </c:pt>
                <c:pt idx="333">
                  <c:v>107700</c:v>
                </c:pt>
                <c:pt idx="334">
                  <c:v>107700</c:v>
                </c:pt>
                <c:pt idx="335">
                  <c:v>109160</c:v>
                </c:pt>
                <c:pt idx="336">
                  <c:v>109160</c:v>
                </c:pt>
                <c:pt idx="337">
                  <c:v>109190</c:v>
                </c:pt>
                <c:pt idx="338">
                  <c:v>109190</c:v>
                </c:pt>
                <c:pt idx="339">
                  <c:v>112110</c:v>
                </c:pt>
                <c:pt idx="340">
                  <c:v>112110</c:v>
                </c:pt>
                <c:pt idx="341">
                  <c:v>112570</c:v>
                </c:pt>
                <c:pt idx="342">
                  <c:v>112570</c:v>
                </c:pt>
                <c:pt idx="343">
                  <c:v>112650</c:v>
                </c:pt>
                <c:pt idx="344">
                  <c:v>112650</c:v>
                </c:pt>
                <c:pt idx="345">
                  <c:v>112650</c:v>
                </c:pt>
                <c:pt idx="346">
                  <c:v>112780</c:v>
                </c:pt>
                <c:pt idx="347">
                  <c:v>112780</c:v>
                </c:pt>
                <c:pt idx="348">
                  <c:v>113280</c:v>
                </c:pt>
                <c:pt idx="349">
                  <c:v>113280</c:v>
                </c:pt>
                <c:pt idx="350">
                  <c:v>114180</c:v>
                </c:pt>
                <c:pt idx="351">
                  <c:v>114180</c:v>
                </c:pt>
                <c:pt idx="352">
                  <c:v>114870</c:v>
                </c:pt>
                <c:pt idx="353">
                  <c:v>114870</c:v>
                </c:pt>
                <c:pt idx="354">
                  <c:v>114890</c:v>
                </c:pt>
                <c:pt idx="355">
                  <c:v>114890</c:v>
                </c:pt>
                <c:pt idx="356">
                  <c:v>115440</c:v>
                </c:pt>
                <c:pt idx="357">
                  <c:v>115440</c:v>
                </c:pt>
                <c:pt idx="358">
                  <c:v>115920</c:v>
                </c:pt>
                <c:pt idx="359">
                  <c:v>115920</c:v>
                </c:pt>
                <c:pt idx="360">
                  <c:v>118100</c:v>
                </c:pt>
                <c:pt idx="361">
                  <c:v>118100</c:v>
                </c:pt>
                <c:pt idx="362">
                  <c:v>118840</c:v>
                </c:pt>
                <c:pt idx="363">
                  <c:v>118840</c:v>
                </c:pt>
                <c:pt idx="364">
                  <c:v>119110</c:v>
                </c:pt>
                <c:pt idx="365">
                  <c:v>119110</c:v>
                </c:pt>
              </c:numCache>
            </c:numRef>
          </c:xVal>
          <c:yVal>
            <c:numRef>
              <c:f>('All Staff'!$K$2:$K$184,'All Staff'!$K$2:$K$184)</c:f>
              <c:numCache>
                <c:formatCode>General</c:formatCode>
                <c:ptCount val="366"/>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1</c:v>
                </c:pt>
                <c:pt idx="15">
                  <c:v>1</c:v>
                </c:pt>
                <c:pt idx="16">
                  <c:v>4</c:v>
                </c:pt>
                <c:pt idx="17">
                  <c:v>4</c:v>
                </c:pt>
                <c:pt idx="18">
                  <c:v>3</c:v>
                </c:pt>
                <c:pt idx="19">
                  <c:v>3</c:v>
                </c:pt>
                <c:pt idx="20">
                  <c:v>3</c:v>
                </c:pt>
                <c:pt idx="21">
                  <c:v>3</c:v>
                </c:pt>
                <c:pt idx="22">
                  <c:v>4</c:v>
                </c:pt>
                <c:pt idx="23">
                  <c:v>4</c:v>
                </c:pt>
                <c:pt idx="24">
                  <c:v>4</c:v>
                </c:pt>
                <c:pt idx="25">
                  <c:v>4</c:v>
                </c:pt>
                <c:pt idx="26">
                  <c:v>3</c:v>
                </c:pt>
                <c:pt idx="27">
                  <c:v>3</c:v>
                </c:pt>
                <c:pt idx="28">
                  <c:v>3</c:v>
                </c:pt>
                <c:pt idx="29">
                  <c:v>3</c:v>
                </c:pt>
                <c:pt idx="30">
                  <c:v>2</c:v>
                </c:pt>
                <c:pt idx="31">
                  <c:v>2</c:v>
                </c:pt>
                <c:pt idx="32">
                  <c:v>2</c:v>
                </c:pt>
                <c:pt idx="33">
                  <c:v>2</c:v>
                </c:pt>
                <c:pt idx="34">
                  <c:v>3</c:v>
                </c:pt>
                <c:pt idx="35">
                  <c:v>3</c:v>
                </c:pt>
                <c:pt idx="36">
                  <c:v>3</c:v>
                </c:pt>
                <c:pt idx="37">
                  <c:v>3</c:v>
                </c:pt>
                <c:pt idx="38">
                  <c:v>3</c:v>
                </c:pt>
                <c:pt idx="39">
                  <c:v>3</c:v>
                </c:pt>
                <c:pt idx="40">
                  <c:v>3</c:v>
                </c:pt>
                <c:pt idx="41">
                  <c:v>3</c:v>
                </c:pt>
                <c:pt idx="42">
                  <c:v>3</c:v>
                </c:pt>
                <c:pt idx="43">
                  <c:v>3</c:v>
                </c:pt>
                <c:pt idx="44">
                  <c:v>4</c:v>
                </c:pt>
                <c:pt idx="45">
                  <c:v>4</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2</c:v>
                </c:pt>
                <c:pt idx="71">
                  <c:v>2</c:v>
                </c:pt>
                <c:pt idx="72">
                  <c:v>3</c:v>
                </c:pt>
                <c:pt idx="73">
                  <c:v>3</c:v>
                </c:pt>
                <c:pt idx="74">
                  <c:v>2</c:v>
                </c:pt>
                <c:pt idx="75">
                  <c:v>2</c:v>
                </c:pt>
                <c:pt idx="76">
                  <c:v>3</c:v>
                </c:pt>
                <c:pt idx="77">
                  <c:v>3</c:v>
                </c:pt>
                <c:pt idx="78">
                  <c:v>3</c:v>
                </c:pt>
                <c:pt idx="79">
                  <c:v>3</c:v>
                </c:pt>
                <c:pt idx="80">
                  <c:v>3</c:v>
                </c:pt>
                <c:pt idx="81">
                  <c:v>3</c:v>
                </c:pt>
                <c:pt idx="82">
                  <c:v>2</c:v>
                </c:pt>
                <c:pt idx="83">
                  <c:v>2</c:v>
                </c:pt>
                <c:pt idx="84">
                  <c:v>3</c:v>
                </c:pt>
                <c:pt idx="85">
                  <c:v>3</c:v>
                </c:pt>
                <c:pt idx="86">
                  <c:v>3</c:v>
                </c:pt>
                <c:pt idx="87">
                  <c:v>3</c:v>
                </c:pt>
                <c:pt idx="88">
                  <c:v>3</c:v>
                </c:pt>
                <c:pt idx="89">
                  <c:v>3</c:v>
                </c:pt>
                <c:pt idx="90">
                  <c:v>5</c:v>
                </c:pt>
                <c:pt idx="91">
                  <c:v>5</c:v>
                </c:pt>
                <c:pt idx="92">
                  <c:v>3</c:v>
                </c:pt>
                <c:pt idx="93">
                  <c:v>3</c:v>
                </c:pt>
                <c:pt idx="94">
                  <c:v>1</c:v>
                </c:pt>
                <c:pt idx="95">
                  <c:v>1</c:v>
                </c:pt>
                <c:pt idx="96">
                  <c:v>3</c:v>
                </c:pt>
                <c:pt idx="97">
                  <c:v>3</c:v>
                </c:pt>
                <c:pt idx="98">
                  <c:v>3</c:v>
                </c:pt>
                <c:pt idx="99">
                  <c:v>3</c:v>
                </c:pt>
                <c:pt idx="100">
                  <c:v>4</c:v>
                </c:pt>
                <c:pt idx="101">
                  <c:v>4</c:v>
                </c:pt>
                <c:pt idx="102">
                  <c:v>3</c:v>
                </c:pt>
                <c:pt idx="103">
                  <c:v>3</c:v>
                </c:pt>
                <c:pt idx="104">
                  <c:v>3</c:v>
                </c:pt>
                <c:pt idx="105">
                  <c:v>3</c:v>
                </c:pt>
                <c:pt idx="106">
                  <c:v>3</c:v>
                </c:pt>
                <c:pt idx="107">
                  <c:v>3</c:v>
                </c:pt>
                <c:pt idx="108">
                  <c:v>4</c:v>
                </c:pt>
                <c:pt idx="109">
                  <c:v>4</c:v>
                </c:pt>
                <c:pt idx="110">
                  <c:v>3</c:v>
                </c:pt>
                <c:pt idx="111">
                  <c:v>3</c:v>
                </c:pt>
                <c:pt idx="112">
                  <c:v>3</c:v>
                </c:pt>
                <c:pt idx="113">
                  <c:v>3</c:v>
                </c:pt>
                <c:pt idx="114">
                  <c:v>3</c:v>
                </c:pt>
                <c:pt idx="115">
                  <c:v>3</c:v>
                </c:pt>
                <c:pt idx="116">
                  <c:v>3</c:v>
                </c:pt>
                <c:pt idx="117">
                  <c:v>3</c:v>
                </c:pt>
                <c:pt idx="118">
                  <c:v>2</c:v>
                </c:pt>
                <c:pt idx="119">
                  <c:v>2</c:v>
                </c:pt>
                <c:pt idx="120">
                  <c:v>4</c:v>
                </c:pt>
                <c:pt idx="121">
                  <c:v>4</c:v>
                </c:pt>
                <c:pt idx="122">
                  <c:v>3</c:v>
                </c:pt>
                <c:pt idx="123">
                  <c:v>3</c:v>
                </c:pt>
                <c:pt idx="124">
                  <c:v>4</c:v>
                </c:pt>
                <c:pt idx="125">
                  <c:v>4</c:v>
                </c:pt>
                <c:pt idx="126">
                  <c:v>3</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3</c:v>
                </c:pt>
                <c:pt idx="141">
                  <c:v>3</c:v>
                </c:pt>
                <c:pt idx="142">
                  <c:v>3</c:v>
                </c:pt>
                <c:pt idx="143">
                  <c:v>3</c:v>
                </c:pt>
                <c:pt idx="144">
                  <c:v>3</c:v>
                </c:pt>
                <c:pt idx="145">
                  <c:v>3</c:v>
                </c:pt>
                <c:pt idx="146">
                  <c:v>3</c:v>
                </c:pt>
                <c:pt idx="147">
                  <c:v>3</c:v>
                </c:pt>
                <c:pt idx="148">
                  <c:v>3</c:v>
                </c:pt>
                <c:pt idx="149">
                  <c:v>3</c:v>
                </c:pt>
                <c:pt idx="150">
                  <c:v>3</c:v>
                </c:pt>
                <c:pt idx="151">
                  <c:v>3</c:v>
                </c:pt>
                <c:pt idx="152">
                  <c:v>5</c:v>
                </c:pt>
                <c:pt idx="153">
                  <c:v>5</c:v>
                </c:pt>
                <c:pt idx="154">
                  <c:v>4</c:v>
                </c:pt>
                <c:pt idx="155">
                  <c:v>4</c:v>
                </c:pt>
                <c:pt idx="156">
                  <c:v>2</c:v>
                </c:pt>
                <c:pt idx="157">
                  <c:v>2</c:v>
                </c:pt>
                <c:pt idx="158">
                  <c:v>3</c:v>
                </c:pt>
                <c:pt idx="159">
                  <c:v>3</c:v>
                </c:pt>
                <c:pt idx="160">
                  <c:v>3</c:v>
                </c:pt>
                <c:pt idx="161">
                  <c:v>3</c:v>
                </c:pt>
                <c:pt idx="162">
                  <c:v>3</c:v>
                </c:pt>
                <c:pt idx="163">
                  <c:v>4</c:v>
                </c:pt>
                <c:pt idx="164">
                  <c:v>4</c:v>
                </c:pt>
                <c:pt idx="165">
                  <c:v>1</c:v>
                </c:pt>
                <c:pt idx="166">
                  <c:v>1</c:v>
                </c:pt>
                <c:pt idx="167">
                  <c:v>3</c:v>
                </c:pt>
                <c:pt idx="168">
                  <c:v>3</c:v>
                </c:pt>
                <c:pt idx="169">
                  <c:v>3</c:v>
                </c:pt>
                <c:pt idx="170">
                  <c:v>3</c:v>
                </c:pt>
                <c:pt idx="171">
                  <c:v>3</c:v>
                </c:pt>
                <c:pt idx="172">
                  <c:v>3</c:v>
                </c:pt>
                <c:pt idx="173">
                  <c:v>2</c:v>
                </c:pt>
                <c:pt idx="174">
                  <c:v>2</c:v>
                </c:pt>
                <c:pt idx="175">
                  <c:v>3</c:v>
                </c:pt>
                <c:pt idx="176">
                  <c:v>3</c:v>
                </c:pt>
                <c:pt idx="177">
                  <c:v>3</c:v>
                </c:pt>
                <c:pt idx="178">
                  <c:v>3</c:v>
                </c:pt>
                <c:pt idx="179">
                  <c:v>3</c:v>
                </c:pt>
                <c:pt idx="180">
                  <c:v>3</c:v>
                </c:pt>
                <c:pt idx="181">
                  <c:v>3</c:v>
                </c:pt>
                <c:pt idx="182">
                  <c:v>3</c:v>
                </c:pt>
                <c:pt idx="183">
                  <c:v>3</c:v>
                </c:pt>
                <c:pt idx="184">
                  <c:v>3</c:v>
                </c:pt>
                <c:pt idx="185">
                  <c:v>3</c:v>
                </c:pt>
                <c:pt idx="186">
                  <c:v>3</c:v>
                </c:pt>
                <c:pt idx="187">
                  <c:v>3</c:v>
                </c:pt>
                <c:pt idx="188">
                  <c:v>3</c:v>
                </c:pt>
                <c:pt idx="189">
                  <c:v>3</c:v>
                </c:pt>
                <c:pt idx="190">
                  <c:v>3</c:v>
                </c:pt>
                <c:pt idx="191">
                  <c:v>3</c:v>
                </c:pt>
                <c:pt idx="192">
                  <c:v>3</c:v>
                </c:pt>
                <c:pt idx="193">
                  <c:v>3</c:v>
                </c:pt>
                <c:pt idx="194">
                  <c:v>3</c:v>
                </c:pt>
                <c:pt idx="195">
                  <c:v>3</c:v>
                </c:pt>
                <c:pt idx="196">
                  <c:v>3</c:v>
                </c:pt>
                <c:pt idx="197">
                  <c:v>1</c:v>
                </c:pt>
                <c:pt idx="198">
                  <c:v>1</c:v>
                </c:pt>
                <c:pt idx="199">
                  <c:v>4</c:v>
                </c:pt>
                <c:pt idx="200">
                  <c:v>4</c:v>
                </c:pt>
                <c:pt idx="201">
                  <c:v>3</c:v>
                </c:pt>
                <c:pt idx="202">
                  <c:v>3</c:v>
                </c:pt>
                <c:pt idx="203">
                  <c:v>3</c:v>
                </c:pt>
                <c:pt idx="204">
                  <c:v>3</c:v>
                </c:pt>
                <c:pt idx="205">
                  <c:v>4</c:v>
                </c:pt>
                <c:pt idx="206">
                  <c:v>4</c:v>
                </c:pt>
                <c:pt idx="207">
                  <c:v>4</c:v>
                </c:pt>
                <c:pt idx="208">
                  <c:v>4</c:v>
                </c:pt>
                <c:pt idx="209">
                  <c:v>3</c:v>
                </c:pt>
                <c:pt idx="210">
                  <c:v>3</c:v>
                </c:pt>
                <c:pt idx="211">
                  <c:v>3</c:v>
                </c:pt>
                <c:pt idx="212">
                  <c:v>3</c:v>
                </c:pt>
                <c:pt idx="213">
                  <c:v>2</c:v>
                </c:pt>
                <c:pt idx="214">
                  <c:v>2</c:v>
                </c:pt>
                <c:pt idx="215">
                  <c:v>2</c:v>
                </c:pt>
                <c:pt idx="216">
                  <c:v>2</c:v>
                </c:pt>
                <c:pt idx="217">
                  <c:v>3</c:v>
                </c:pt>
                <c:pt idx="218">
                  <c:v>3</c:v>
                </c:pt>
                <c:pt idx="219">
                  <c:v>3</c:v>
                </c:pt>
                <c:pt idx="220">
                  <c:v>3</c:v>
                </c:pt>
                <c:pt idx="221">
                  <c:v>3</c:v>
                </c:pt>
                <c:pt idx="222">
                  <c:v>3</c:v>
                </c:pt>
                <c:pt idx="223">
                  <c:v>3</c:v>
                </c:pt>
                <c:pt idx="224">
                  <c:v>3</c:v>
                </c:pt>
                <c:pt idx="225">
                  <c:v>3</c:v>
                </c:pt>
                <c:pt idx="226">
                  <c:v>3</c:v>
                </c:pt>
                <c:pt idx="227">
                  <c:v>4</c:v>
                </c:pt>
                <c:pt idx="228">
                  <c:v>4</c:v>
                </c:pt>
                <c:pt idx="229">
                  <c:v>3</c:v>
                </c:pt>
                <c:pt idx="230">
                  <c:v>3</c:v>
                </c:pt>
                <c:pt idx="231">
                  <c:v>3</c:v>
                </c:pt>
                <c:pt idx="232">
                  <c:v>3</c:v>
                </c:pt>
                <c:pt idx="233">
                  <c:v>3</c:v>
                </c:pt>
                <c:pt idx="234">
                  <c:v>3</c:v>
                </c:pt>
                <c:pt idx="235">
                  <c:v>3</c:v>
                </c:pt>
                <c:pt idx="236">
                  <c:v>3</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3</c:v>
                </c:pt>
                <c:pt idx="252">
                  <c:v>3</c:v>
                </c:pt>
                <c:pt idx="253">
                  <c:v>2</c:v>
                </c:pt>
                <c:pt idx="254">
                  <c:v>2</c:v>
                </c:pt>
                <c:pt idx="255">
                  <c:v>3</c:v>
                </c:pt>
                <c:pt idx="256">
                  <c:v>3</c:v>
                </c:pt>
                <c:pt idx="257">
                  <c:v>2</c:v>
                </c:pt>
                <c:pt idx="258">
                  <c:v>2</c:v>
                </c:pt>
                <c:pt idx="259">
                  <c:v>3</c:v>
                </c:pt>
                <c:pt idx="260">
                  <c:v>3</c:v>
                </c:pt>
                <c:pt idx="261">
                  <c:v>3</c:v>
                </c:pt>
                <c:pt idx="262">
                  <c:v>3</c:v>
                </c:pt>
                <c:pt idx="263">
                  <c:v>3</c:v>
                </c:pt>
                <c:pt idx="264">
                  <c:v>3</c:v>
                </c:pt>
                <c:pt idx="265">
                  <c:v>2</c:v>
                </c:pt>
                <c:pt idx="266">
                  <c:v>2</c:v>
                </c:pt>
                <c:pt idx="267">
                  <c:v>3</c:v>
                </c:pt>
                <c:pt idx="268">
                  <c:v>3</c:v>
                </c:pt>
                <c:pt idx="269">
                  <c:v>3</c:v>
                </c:pt>
                <c:pt idx="270">
                  <c:v>3</c:v>
                </c:pt>
                <c:pt idx="271">
                  <c:v>3</c:v>
                </c:pt>
                <c:pt idx="272">
                  <c:v>3</c:v>
                </c:pt>
                <c:pt idx="273">
                  <c:v>5</c:v>
                </c:pt>
                <c:pt idx="274">
                  <c:v>5</c:v>
                </c:pt>
                <c:pt idx="275">
                  <c:v>3</c:v>
                </c:pt>
                <c:pt idx="276">
                  <c:v>3</c:v>
                </c:pt>
                <c:pt idx="277">
                  <c:v>1</c:v>
                </c:pt>
                <c:pt idx="278">
                  <c:v>1</c:v>
                </c:pt>
                <c:pt idx="279">
                  <c:v>3</c:v>
                </c:pt>
                <c:pt idx="280">
                  <c:v>3</c:v>
                </c:pt>
                <c:pt idx="281">
                  <c:v>3</c:v>
                </c:pt>
                <c:pt idx="282">
                  <c:v>3</c:v>
                </c:pt>
                <c:pt idx="283">
                  <c:v>4</c:v>
                </c:pt>
                <c:pt idx="284">
                  <c:v>4</c:v>
                </c:pt>
                <c:pt idx="285">
                  <c:v>3</c:v>
                </c:pt>
                <c:pt idx="286">
                  <c:v>3</c:v>
                </c:pt>
                <c:pt idx="287">
                  <c:v>3</c:v>
                </c:pt>
                <c:pt idx="288">
                  <c:v>3</c:v>
                </c:pt>
                <c:pt idx="289">
                  <c:v>3</c:v>
                </c:pt>
                <c:pt idx="290">
                  <c:v>3</c:v>
                </c:pt>
                <c:pt idx="291">
                  <c:v>4</c:v>
                </c:pt>
                <c:pt idx="292">
                  <c:v>4</c:v>
                </c:pt>
                <c:pt idx="293">
                  <c:v>3</c:v>
                </c:pt>
                <c:pt idx="294">
                  <c:v>3</c:v>
                </c:pt>
                <c:pt idx="295">
                  <c:v>3</c:v>
                </c:pt>
                <c:pt idx="296">
                  <c:v>3</c:v>
                </c:pt>
                <c:pt idx="297">
                  <c:v>3</c:v>
                </c:pt>
                <c:pt idx="298">
                  <c:v>3</c:v>
                </c:pt>
                <c:pt idx="299">
                  <c:v>3</c:v>
                </c:pt>
                <c:pt idx="300">
                  <c:v>3</c:v>
                </c:pt>
                <c:pt idx="301">
                  <c:v>2</c:v>
                </c:pt>
                <c:pt idx="302">
                  <c:v>2</c:v>
                </c:pt>
                <c:pt idx="303">
                  <c:v>4</c:v>
                </c:pt>
                <c:pt idx="304">
                  <c:v>4</c:v>
                </c:pt>
                <c:pt idx="305">
                  <c:v>3</c:v>
                </c:pt>
                <c:pt idx="306">
                  <c:v>3</c:v>
                </c:pt>
                <c:pt idx="307">
                  <c:v>4</c:v>
                </c:pt>
                <c:pt idx="308">
                  <c:v>4</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5</c:v>
                </c:pt>
                <c:pt idx="336">
                  <c:v>5</c:v>
                </c:pt>
                <c:pt idx="337">
                  <c:v>4</c:v>
                </c:pt>
                <c:pt idx="338">
                  <c:v>4</c:v>
                </c:pt>
                <c:pt idx="339">
                  <c:v>2</c:v>
                </c:pt>
                <c:pt idx="340">
                  <c:v>2</c:v>
                </c:pt>
                <c:pt idx="341">
                  <c:v>3</c:v>
                </c:pt>
                <c:pt idx="342">
                  <c:v>3</c:v>
                </c:pt>
                <c:pt idx="343">
                  <c:v>3</c:v>
                </c:pt>
                <c:pt idx="344">
                  <c:v>3</c:v>
                </c:pt>
                <c:pt idx="345">
                  <c:v>3</c:v>
                </c:pt>
                <c:pt idx="346">
                  <c:v>4</c:v>
                </c:pt>
                <c:pt idx="347">
                  <c:v>4</c:v>
                </c:pt>
                <c:pt idx="348">
                  <c:v>1</c:v>
                </c:pt>
                <c:pt idx="349">
                  <c:v>1</c:v>
                </c:pt>
                <c:pt idx="350">
                  <c:v>3</c:v>
                </c:pt>
                <c:pt idx="351">
                  <c:v>3</c:v>
                </c:pt>
                <c:pt idx="352">
                  <c:v>3</c:v>
                </c:pt>
                <c:pt idx="353">
                  <c:v>3</c:v>
                </c:pt>
                <c:pt idx="354">
                  <c:v>3</c:v>
                </c:pt>
                <c:pt idx="355">
                  <c:v>3</c:v>
                </c:pt>
                <c:pt idx="356">
                  <c:v>2</c:v>
                </c:pt>
                <c:pt idx="357">
                  <c:v>2</c:v>
                </c:pt>
                <c:pt idx="358">
                  <c:v>3</c:v>
                </c:pt>
                <c:pt idx="359">
                  <c:v>3</c:v>
                </c:pt>
                <c:pt idx="360">
                  <c:v>3</c:v>
                </c:pt>
                <c:pt idx="361">
                  <c:v>3</c:v>
                </c:pt>
                <c:pt idx="362">
                  <c:v>3</c:v>
                </c:pt>
                <c:pt idx="363">
                  <c:v>3</c:v>
                </c:pt>
                <c:pt idx="364">
                  <c:v>3</c:v>
                </c:pt>
                <c:pt idx="365">
                  <c:v>3</c:v>
                </c:pt>
              </c:numCache>
            </c:numRef>
          </c:yVal>
          <c:smooth val="0"/>
          <c:extLst>
            <c:ext xmlns:c16="http://schemas.microsoft.com/office/drawing/2014/chart" uri="{C3380CC4-5D6E-409C-BE32-E72D297353CC}">
              <c16:uniqueId val="{00000000-4DD2-42D7-BC20-0EE693EB3CA0}"/>
            </c:ext>
          </c:extLst>
        </c:ser>
        <c:dLbls>
          <c:showLegendKey val="0"/>
          <c:showVal val="0"/>
          <c:showCatName val="0"/>
          <c:showSerName val="0"/>
          <c:showPercent val="0"/>
          <c:showBubbleSize val="0"/>
        </c:dLbls>
        <c:axId val="937868287"/>
        <c:axId val="937868767"/>
      </c:scatterChart>
      <c:valAx>
        <c:axId val="93786828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868767"/>
        <c:crosses val="autoZero"/>
        <c:crossBetween val="midCat"/>
      </c:valAx>
      <c:valAx>
        <c:axId val="93786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8682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Salary Spread by 10k</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Salary Spread by 10k</a:t>
          </a:r>
        </a:p>
      </cx:txPr>
    </cx:title>
    <cx:plotArea>
      <cx:plotAreaRegion>
        <cx:series layoutId="clusteredColumn" uniqueId="{2DC7B6AC-F029-4136-8790-157F5BFBA813}">
          <cx:dataId val="0"/>
          <cx:layoutPr>
            <cx:binning intervalClosed="r" underflow="40000">
              <cx:binSize val="10000"/>
            </cx:binning>
          </cx:layoutPr>
        </cx:series>
      </cx:plotAreaRegion>
      <cx:axis id="0">
        <cx:catScaling gapWidth="0"/>
        <cx:tickLabels/>
        <cx:spPr>
          <a:effectLst/>
        </cx:spPr>
        <cx:txPr>
          <a:bodyPr spcFirstLastPara="1" vertOverflow="ellipsis" horzOverflow="overflow" wrap="square" lIns="0" tIns="0" rIns="0" bIns="0" anchor="ctr" anchorCtr="1"/>
          <a:lstStyle/>
          <a:p>
            <a:pPr algn="ctr" rtl="0">
              <a:defRPr>
                <a:ln>
                  <a:noFill/>
                </a:ln>
                <a:solidFill>
                  <a:sysClr val="windowText" lastClr="000000">
                    <a:lumMod val="65000"/>
                    <a:lumOff val="35000"/>
                  </a:sysClr>
                </a:solidFill>
                <a:effectLst>
                  <a:reflection stA="45000" endPos="65000" dir="5400000" sy="-100000" algn="bl" rotWithShape="0"/>
                </a:effectLst>
              </a:defRPr>
            </a:pPr>
            <a:endParaRPr lang="en-US" sz="900" b="0" i="0" u="none" strike="noStrike" baseline="0">
              <a:ln>
                <a:noFill/>
              </a:ln>
              <a:solidFill>
                <a:sysClr val="windowText" lastClr="000000">
                  <a:lumMod val="65000"/>
                  <a:lumOff val="35000"/>
                </a:sysClr>
              </a:solidFill>
              <a:effectLst>
                <a:reflection stA="45000" endPos="65000" dir="5400000" sy="-100000" algn="bl" rotWithShape="0"/>
              </a:effectLst>
              <a:latin typeface="Calibri" panose="020F0502020204030204"/>
            </a:endParaRPr>
          </a:p>
        </cx:txPr>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Salary Spread Box 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Salary Spread Box Plot</a:t>
          </a:r>
        </a:p>
      </cx:txPr>
    </cx:title>
    <cx:plotArea>
      <cx:plotAreaRegion>
        <cx:series layoutId="boxWhisker" uniqueId="{1982E673-118A-4BA7-8E0A-F524562EC318}">
          <cx:tx>
            <cx:txData>
              <cx:f>_xlchart.v1.0</cx:f>
              <cx:v> Salary </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s://youtu.be/H6k28jhclwI" TargetMode="External"/><Relationship Id="rId2" Type="http://schemas.openxmlformats.org/officeDocument/2006/relationships/image" Target="../media/image1.png"/><Relationship Id="rId1" Type="http://schemas.openxmlformats.org/officeDocument/2006/relationships/hyperlink" Target="https://chandoo.org/wp/" TargetMode="External"/><Relationship Id="rId6" Type="http://schemas.openxmlformats.org/officeDocument/2006/relationships/image" Target="../media/image3.png"/><Relationship Id="rId5" Type="http://schemas.openxmlformats.org/officeDocument/2006/relationships/hyperlink" Target="https://chandoo.org/wp/excel-school-program/"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31</xdr:col>
      <xdr:colOff>0</xdr:colOff>
      <xdr:row>0</xdr:row>
      <xdr:rowOff>149958</xdr:rowOff>
    </xdr:from>
    <xdr:to>
      <xdr:col>35</xdr:col>
      <xdr:colOff>47625</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twoCellAnchor editAs="oneCell">
    <xdr:from>
      <xdr:col>31</xdr:col>
      <xdr:colOff>0</xdr:colOff>
      <xdr:row>4</xdr:row>
      <xdr:rowOff>0</xdr:rowOff>
    </xdr:from>
    <xdr:to>
      <xdr:col>35</xdr:col>
      <xdr:colOff>6350</xdr:colOff>
      <xdr:row>11</xdr:row>
      <xdr:rowOff>41055</xdr:rowOff>
    </xdr:to>
    <xdr:pic>
      <xdr:nvPicPr>
        <xdr:cNvPr id="2" name="Picture 1">
          <a:hlinkClick xmlns:r="http://schemas.openxmlformats.org/officeDocument/2006/relationships" r:id="rId3"/>
          <a:extLst>
            <a:ext uri="{FF2B5EF4-FFF2-40B4-BE49-F238E27FC236}">
              <a16:creationId xmlns:a16="http://schemas.microsoft.com/office/drawing/2014/main" id="{57E6FE93-84F3-45D7-B277-295969E51D3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24625" y="1238250"/>
          <a:ext cx="2444750" cy="1374555"/>
        </a:xfrm>
        <a:prstGeom prst="rect">
          <a:avLst/>
        </a:prstGeom>
        <a:ln>
          <a:solidFill>
            <a:schemeClr val="tx1"/>
          </a:solidFill>
        </a:ln>
      </xdr:spPr>
    </xdr:pic>
    <xdr:clientData/>
  </xdr:twoCellAnchor>
  <xdr:twoCellAnchor>
    <xdr:from>
      <xdr:col>31</xdr:col>
      <xdr:colOff>548508</xdr:colOff>
      <xdr:row>10</xdr:row>
      <xdr:rowOff>124811</xdr:rowOff>
    </xdr:from>
    <xdr:to>
      <xdr:col>34</xdr:col>
      <xdr:colOff>67167</xdr:colOff>
      <xdr:row>12</xdr:row>
      <xdr:rowOff>19707</xdr:rowOff>
    </xdr:to>
    <xdr:sp macro="" textlink="">
      <xdr:nvSpPr>
        <xdr:cNvPr id="3" name="Rectangle: Rounded Corners 2">
          <a:hlinkClick xmlns:r="http://schemas.openxmlformats.org/officeDocument/2006/relationships" r:id="rId3"/>
          <a:extLst>
            <a:ext uri="{FF2B5EF4-FFF2-40B4-BE49-F238E27FC236}">
              <a16:creationId xmlns:a16="http://schemas.microsoft.com/office/drawing/2014/main" id="{FB0C10A5-873E-49A5-819F-85042883FE66}"/>
            </a:ext>
          </a:extLst>
        </xdr:cNvPr>
        <xdr:cNvSpPr/>
      </xdr:nvSpPr>
      <xdr:spPr>
        <a:xfrm>
          <a:off x="7073133" y="2506061"/>
          <a:ext cx="1347459" cy="275896"/>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a:latin typeface="Roboto" panose="02000000000000000000" pitchFamily="2" charset="0"/>
              <a:ea typeface="Roboto" panose="02000000000000000000" pitchFamily="2" charset="0"/>
            </a:rPr>
            <a:t>Watch the video</a:t>
          </a:r>
        </a:p>
      </xdr:txBody>
    </xdr:sp>
    <xdr:clientData/>
  </xdr:twoCellAnchor>
  <xdr:twoCellAnchor editAs="oneCell">
    <xdr:from>
      <xdr:col>31</xdr:col>
      <xdr:colOff>0</xdr:colOff>
      <xdr:row>13</xdr:row>
      <xdr:rowOff>0</xdr:rowOff>
    </xdr:from>
    <xdr:to>
      <xdr:col>35</xdr:col>
      <xdr:colOff>19488</xdr:colOff>
      <xdr:row>25</xdr:row>
      <xdr:rowOff>170793</xdr:rowOff>
    </xdr:to>
    <xdr:pic>
      <xdr:nvPicPr>
        <xdr:cNvPr id="5" name="Picture 4">
          <a:hlinkClick xmlns:r="http://schemas.openxmlformats.org/officeDocument/2006/relationships" r:id="rId5"/>
          <a:extLst>
            <a:ext uri="{FF2B5EF4-FFF2-40B4-BE49-F238E27FC236}">
              <a16:creationId xmlns:a16="http://schemas.microsoft.com/office/drawing/2014/main" id="{B36909BE-7360-4913-9D8E-2CCF602982C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24625" y="2952750"/>
          <a:ext cx="2457888" cy="2456793"/>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5</xdr:row>
      <xdr:rowOff>0</xdr:rowOff>
    </xdr:from>
    <xdr:to>
      <xdr:col>15</xdr:col>
      <xdr:colOff>7620</xdr:colOff>
      <xdr:row>21</xdr:row>
      <xdr:rowOff>0</xdr:rowOff>
    </xdr:to>
    <xdr:graphicFrame macro="">
      <xdr:nvGraphicFramePr>
        <xdr:cNvPr id="2" name="Chart 1">
          <a:extLst>
            <a:ext uri="{FF2B5EF4-FFF2-40B4-BE49-F238E27FC236}">
              <a16:creationId xmlns:a16="http://schemas.microsoft.com/office/drawing/2014/main" id="{FC103C7B-26E5-4748-8E27-DADA6A9C0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601980</xdr:colOff>
      <xdr:row>5</xdr:row>
      <xdr:rowOff>7620</xdr:rowOff>
    </xdr:from>
    <xdr:to>
      <xdr:col>7</xdr:col>
      <xdr:colOff>15240</xdr:colOff>
      <xdr:row>21</xdr:row>
      <xdr:rowOff>7620</xdr:rowOff>
    </xdr:to>
    <xdr:graphicFrame macro="">
      <xdr:nvGraphicFramePr>
        <xdr:cNvPr id="3" name="Chart 2">
          <a:extLst>
            <a:ext uri="{FF2B5EF4-FFF2-40B4-BE49-F238E27FC236}">
              <a16:creationId xmlns:a16="http://schemas.microsoft.com/office/drawing/2014/main" id="{58025410-F9CA-469D-A89B-E870262CC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563880</xdr:colOff>
      <xdr:row>1</xdr:row>
      <xdr:rowOff>95250</xdr:rowOff>
    </xdr:from>
    <xdr:to>
      <xdr:col>17</xdr:col>
      <xdr:colOff>213360</xdr:colOff>
      <xdr:row>17</xdr:row>
      <xdr:rowOff>152400</xdr:rowOff>
    </xdr:to>
    <xdr:graphicFrame macro="">
      <xdr:nvGraphicFramePr>
        <xdr:cNvPr id="2" name="Chart 1">
          <a:extLst>
            <a:ext uri="{FF2B5EF4-FFF2-40B4-BE49-F238E27FC236}">
              <a16:creationId xmlns:a16="http://schemas.microsoft.com/office/drawing/2014/main" id="{A1455D50-667A-2FA3-A3A1-6F257D963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18</xdr:row>
      <xdr:rowOff>26670</xdr:rowOff>
    </xdr:from>
    <xdr:to>
      <xdr:col>16</xdr:col>
      <xdr:colOff>182880</xdr:colOff>
      <xdr:row>33</xdr:row>
      <xdr:rowOff>26670</xdr:rowOff>
    </xdr:to>
    <xdr:graphicFrame macro="">
      <xdr:nvGraphicFramePr>
        <xdr:cNvPr id="3" name="Chart 2">
          <a:extLst>
            <a:ext uri="{FF2B5EF4-FFF2-40B4-BE49-F238E27FC236}">
              <a16:creationId xmlns:a16="http://schemas.microsoft.com/office/drawing/2014/main" id="{6732C327-05D4-8255-F9A1-5F845A55E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2</xdr:row>
      <xdr:rowOff>0</xdr:rowOff>
    </xdr:from>
    <xdr:to>
      <xdr:col>26</xdr:col>
      <xdr:colOff>30480</xdr:colOff>
      <xdr:row>20</xdr:row>
      <xdr:rowOff>45720</xdr:rowOff>
    </xdr:to>
    <xdr:graphicFrame macro="">
      <xdr:nvGraphicFramePr>
        <xdr:cNvPr id="3" name="Chart 2">
          <a:extLst>
            <a:ext uri="{FF2B5EF4-FFF2-40B4-BE49-F238E27FC236}">
              <a16:creationId xmlns:a16="http://schemas.microsoft.com/office/drawing/2014/main" id="{8330A811-936C-4E1A-81F2-84FB139BF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268493</xdr:colOff>
      <xdr:row>0</xdr:row>
      <xdr:rowOff>143435</xdr:rowOff>
    </xdr:from>
    <xdr:to>
      <xdr:col>13</xdr:col>
      <xdr:colOff>143435</xdr:colOff>
      <xdr:row>28</xdr:row>
      <xdr:rowOff>74856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62DF4EB-5D4A-47D7-B2DA-3D787F9AA0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8493" y="143435"/>
              <a:ext cx="7799742" cy="50520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62752</xdr:colOff>
      <xdr:row>1</xdr:row>
      <xdr:rowOff>116541</xdr:rowOff>
    </xdr:from>
    <xdr:to>
      <xdr:col>20</xdr:col>
      <xdr:colOff>188259</xdr:colOff>
      <xdr:row>25</xdr:row>
      <xdr:rowOff>26894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C25474A-15C4-4A49-8674-1D6F72575D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597152" y="299421"/>
              <a:ext cx="3783107" cy="429947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342900</xdr:colOff>
      <xdr:row>6</xdr:row>
      <xdr:rowOff>167641</xdr:rowOff>
    </xdr:from>
    <xdr:to>
      <xdr:col>8</xdr:col>
      <xdr:colOff>281940</xdr:colOff>
      <xdr:row>12</xdr:row>
      <xdr:rowOff>30481</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4609AE6E-D61B-188D-0288-05765E0D776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303520" y="1264921"/>
              <a:ext cx="182880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350520</xdr:colOff>
      <xdr:row>12</xdr:row>
      <xdr:rowOff>83821</xdr:rowOff>
    </xdr:from>
    <xdr:to>
      <xdr:col>8</xdr:col>
      <xdr:colOff>289560</xdr:colOff>
      <xdr:row>21</xdr:row>
      <xdr:rowOff>144781</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D7D402D9-1F91-B267-F573-D07D4A12417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311140" y="2278381"/>
              <a:ext cx="182880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refreshedDate="46220.893776736113" backgroundQuery="1" createdVersion="8" refreshedVersion="8" minRefreshableVersion="3" recordCount="0" supportSubquery="1" supportAdvancedDrill="1" xr:uid="{8696F5A7-8E38-4BD3-80CA-930E29AAC542}">
  <cacheSource type="external" connectionId="4"/>
  <cacheFields count="4">
    <cacheField name="[staff].[Date Joined (Month)].[Date Joined (Month)]" caption="Date Joined (Month)" numFmtId="0" hierarchy="11" level="1">
      <sharedItems count="12">
        <s v="May"/>
        <s v="Jun"/>
        <s v="Jul"/>
        <s v="Aug"/>
        <s v="Sep"/>
        <s v="Oct"/>
        <s v="Nov"/>
        <s v="Dec"/>
        <s v="Jan"/>
        <s v="Feb"/>
        <s v="Mar"/>
        <s v="Apr"/>
      </sharedItems>
    </cacheField>
    <cacheField name="[staff].[Date Joined (Year)].[Date Joined (Year)]" caption="Date Joined (Year)" numFmtId="0" hierarchy="9" level="1">
      <sharedItems count="4">
        <s v="2020"/>
        <s v="2021"/>
        <s v="2022"/>
        <s v="2023"/>
      </sharedItems>
    </cacheField>
    <cacheField name="[Measures].[Count of Name]" caption="Count of Name"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Department]" caption="Department" attribute="1" defaultMemberUniqueName="[staff].[Department].[All]" allUniqueName="[staff].[Department].[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Date Joined]" caption="Date Joined" attribute="1" time="1" defaultMemberUniqueName="[staff].[Date Joined].[All]" allUniqueName="[staff].[Date Joined].[All]" dimensionUniqueName="[staff]" displayFolder="" count="0" memberValueDatatype="7" unbalanced="0"/>
    <cacheHierarchy uniqueName="[staff].[Salary]" caption="Salary" attribute="1" defaultMemberUniqueName="[staff].[Salary].[All]" allUniqueName="[staff].[Salary].[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Country]" caption="Country" attribute="1" defaultMemberUniqueName="[staff].[Country].[All]" allUniqueName="[staff].[Country].[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2" memberValueDatatype="130" unbalanced="0">
      <fieldsUsage count="2">
        <fieldUsage x="-1"/>
        <fieldUsage x="1"/>
      </fieldsUsage>
    </cacheHierarchy>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2" memberValueDatatype="130" unbalanced="0">
      <fieldsUsage count="2">
        <fieldUsage x="-1"/>
        <fieldUsage x="0"/>
      </fieldsUsage>
    </cacheHierarchy>
    <cacheHierarchy uniqueName="[staff].[Bonus]" caption="Bonus" attribute="1" defaultMemberUniqueName="[staff].[Bonus].[All]" allUniqueName="[staff].[Bonus].[All]" dimensionUniqueName="[staff]" displayFolder="" count="0" memberValueDatatype="2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Distinct Count of Gender]" caption="Distinct Count of Gender" measure="1" displayFolder="" measureGroup="staff" count="0" hidden="1">
      <extLst>
        <ext xmlns:x15="http://schemas.microsoft.com/office/spreadsheetml/2010/11/main" uri="{B97F6D7D-B522-45F9-BDA1-12C45D357490}">
          <x15:cacheHierarchy aggregatedColumn="1"/>
        </ext>
      </extLst>
    </cacheHierarchy>
    <cacheHierarchy uniqueName="Unsupported0" caption="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refreshedDate="46220.893777662037" backgroundQuery="1" createdVersion="8" refreshedVersion="8" minRefreshableVersion="3" recordCount="0" supportSubquery="1" supportAdvancedDrill="1" xr:uid="{4E0E4BE4-FE77-432F-8580-2FE4501EAAAD}">
  <cacheSource type="external" connectionId="4"/>
  <cacheFields count="3">
    <cacheField name="[staff].[Rating].[Rating]" caption="Rating" numFmtId="0" hierarchy="6" level="1">
      <sharedItems count="5">
        <s v="Above average"/>
        <s v="Average"/>
        <s v="Exceptional"/>
        <s v="Poor"/>
        <s v="Very poor"/>
      </sharedItems>
    </cacheField>
    <cacheField name="[Measures].[Count of Name]" caption="Count of Name" numFmtId="0" hierarchy="17" level="32767"/>
    <cacheField name="[Measures].[Average of Salary]" caption="Average of Salary" numFmtId="0" hierarchy="21" level="32767"/>
  </cacheFields>
  <cacheHierarchies count="26">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Department]" caption="Department" attribute="1" defaultMemberUniqueName="[staff].[Department].[All]" allUniqueName="[staff].[Department].[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Date Joined]" caption="Date Joined" attribute="1" time="1" defaultMemberUniqueName="[staff].[Date Joined].[All]" allUniqueName="[staff].[Date Joined].[All]" dimensionUniqueName="[staff]" displayFolder="" count="0" memberValueDatatype="7" unbalanced="0"/>
    <cacheHierarchy uniqueName="[staff].[Salary]" caption="Salary" attribute="1" defaultMemberUniqueName="[staff].[Salary].[All]" allUniqueName="[staff].[Salary].[All]" dimensionUniqueName="[staff]" displayFolder="" count="0" memberValueDatatype="20" unbalanced="0"/>
    <cacheHierarchy uniqueName="[staff].[Rating]" caption="Rating" attribute="1" defaultMemberUniqueName="[staff].[Rating].[All]" allUniqueName="[staff].[Rating].[All]" dimensionUniqueName="[staff]" displayFolder="" count="2" memberValueDatatype="130" unbalanced="0">
      <fieldsUsage count="2">
        <fieldUsage x="-1"/>
        <fieldUsage x="0"/>
      </fieldsUsage>
    </cacheHierarchy>
    <cacheHierarchy uniqueName="[staff].[Country]" caption="Country" attribute="1" defaultMemberUniqueName="[staff].[Country].[All]" allUniqueName="[staff].[Country].[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Bonus]" caption="Bonus" attribute="1" defaultMemberUniqueName="[staff].[Bonus].[All]" allUniqueName="[staff].[Bonus].[All]" dimensionUniqueName="[staff]" displayFolder="" count="0" memberValueDatatype="2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staff"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Distinct Count of Gender]" caption="Distinct Count of Gender" measure="1" displayFolder="" measureGroup="staff"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refreshedDate="46220.893778935184" backgroundQuery="1" createdVersion="8" refreshedVersion="8" minRefreshableVersion="3" recordCount="0" supportSubquery="1" supportAdvancedDrill="1" xr:uid="{9622AA16-B81C-4250-8944-F777575FB6FB}">
  <cacheSource type="external" connectionId="4"/>
  <cacheFields count="8">
    <cacheField name="[Measures].[Count of Name]" caption="Count of Name" numFmtId="0" hierarchy="17" level="32767"/>
    <cacheField name="[Measures].[Average of Age]" caption="Average of Age" numFmtId="0" hierarchy="19" level="32767"/>
    <cacheField name="[Measures].[Sum of Salary]" caption="Sum of Salary" numFmtId="0" hierarchy="20" level="32767"/>
    <cacheField name="[Measures].[Average of Salary]" caption="Average of Salary" numFmtId="0" hierarchy="21" level="32767"/>
    <cacheField name="[staff].[Gender].[Gender]" caption="Gender" numFmtId="0" hierarchy="1" level="1">
      <sharedItems count="2">
        <s v="Female"/>
        <s v="Male"/>
      </sharedItems>
    </cacheField>
    <cacheField name="[Measures].[Average of Tenure]" caption="Average of Tenure" numFmtId="0" hierarchy="23" level="32767"/>
    <cacheField name="[staff].[Country].[Country]" caption="Country" numFmtId="0" hierarchy="7" level="1">
      <sharedItems containsSemiMixedTypes="0" containsNonDate="0" containsString="0"/>
    </cacheField>
    <cacheField name="[staff].[Department].[Department]" caption="Department" numFmtId="0" hierarchy="2" level="1">
      <sharedItems containsSemiMixedTypes="0" containsNonDate="0" containsString="0"/>
    </cacheField>
  </cacheFields>
  <cacheHierarchies count="26">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2" memberValueDatatype="130" unbalanced="0">
      <fieldsUsage count="2">
        <fieldUsage x="-1"/>
        <fieldUsage x="4"/>
      </fieldsUsage>
    </cacheHierarchy>
    <cacheHierarchy uniqueName="[staff].[Department]" caption="Department" attribute="1" defaultMemberUniqueName="[staff].[Department].[All]" allUniqueName="[staff].[Department].[All]" dimensionUniqueName="[staff]" displayFolder="" count="2" memberValueDatatype="130" unbalanced="0">
      <fieldsUsage count="2">
        <fieldUsage x="-1"/>
        <fieldUsage x="7"/>
      </fieldsUsage>
    </cacheHierarchy>
    <cacheHierarchy uniqueName="[staff].[Age]" caption="Age" attribute="1" defaultMemberUniqueName="[staff].[Age].[All]" allUniqueName="[staff].[Age].[All]" dimensionUniqueName="[staff]" displayFolder="" count="0" memberValueDatatype="20" unbalanced="0"/>
    <cacheHierarchy uniqueName="[staff].[Date Joined]" caption="Date Joined" attribute="1" time="1" defaultMemberUniqueName="[staff].[Date Joined].[All]" allUniqueName="[staff].[Date Joined].[All]" dimensionUniqueName="[staff]" displayFolder="" count="0" memberValueDatatype="7" unbalanced="0"/>
    <cacheHierarchy uniqueName="[staff].[Salary]" caption="Salary" attribute="1" defaultMemberUniqueName="[staff].[Salary].[All]" allUniqueName="[staff].[Salary].[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Country]" caption="Country" attribute="1" defaultMemberUniqueName="[staff].[Country].[All]" allUniqueName="[staff].[Country].[All]" dimensionUniqueName="[staff]" displayFolder="" count="2" memberValueDatatype="130" unbalanced="0">
      <fieldsUsage count="2">
        <fieldUsage x="-1"/>
        <fieldUsage x="6"/>
      </fieldsUsage>
    </cacheHierarchy>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Bonus]" caption="Bonus" attribute="1" defaultMemberUniqueName="[staff].[Bonus].[All]" allUniqueName="[staff].[Bonus].[All]" dimensionUniqueName="[staff]" displayFolder="" count="0" memberValueDatatype="2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staff"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Salary]" caption="Sum of Salary" measure="1" displayFolder="" measureGroup="staff"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staff"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oneField="1" hidden="1">
      <fieldsUsage count="1">
        <fieldUsage x="5"/>
      </fieldsUsage>
      <extLst>
        <ext xmlns:x15="http://schemas.microsoft.com/office/spreadsheetml/2010/11/main" uri="{B97F6D7D-B522-45F9-BDA1-12C45D357490}">
          <x15:cacheHierarchy aggregatedColumn="8"/>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Distinct Count of Gender]" caption="Distinct Count of Gender" measure="1" displayFolder="" measureGroup="staff"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refreshedDate="46220.893782060186" backgroundQuery="1" createdVersion="8" refreshedVersion="8" minRefreshableVersion="3" recordCount="0" supportSubquery="1" supportAdvancedDrill="1" xr:uid="{03DB83A3-E176-4A51-BAD5-AC078C0F0497}">
  <cacheSource type="external" connectionId="4"/>
  <cacheFields count="3">
    <cacheField name="[staff].[Department].[Department]" caption="Department" numFmtId="0" hierarchy="2" level="1">
      <sharedItems count="5">
        <s v="Finance"/>
        <s v="HR"/>
        <s v="Procurement"/>
        <s v="Sales"/>
        <s v="Website"/>
      </sharedItems>
    </cacheField>
    <cacheField name="[staff].[Country].[Country]" caption="Country" numFmtId="0" hierarchy="7" level="1">
      <sharedItems containsSemiMixedTypes="0" containsNonDate="0" containsString="0"/>
    </cacheField>
    <cacheField name="[Measures].[Count of Name]" caption="Count of Name" numFmtId="0" hierarchy="17" level="32767"/>
  </cacheFields>
  <cacheHierarchies count="26">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Age]" caption="Age" attribute="1" defaultMemberUniqueName="[staff].[Age].[All]" allUniqueName="[staff].[Age].[All]" dimensionUniqueName="[staff]" displayFolder="" count="0" memberValueDatatype="20" unbalanced="0"/>
    <cacheHierarchy uniqueName="[staff].[Date Joined]" caption="Date Joined" attribute="1" time="1" defaultMemberUniqueName="[staff].[Date Joined].[All]" allUniqueName="[staff].[Date Joined].[All]" dimensionUniqueName="[staff]" displayFolder="" count="0" memberValueDatatype="7" unbalanced="0"/>
    <cacheHierarchy uniqueName="[staff].[Salary]" caption="Salary" attribute="1" defaultMemberUniqueName="[staff].[Salary].[All]" allUniqueName="[staff].[Salary].[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Country]" caption="Country" attribute="1" defaultMemberUniqueName="[staff].[Country].[All]" allUniqueName="[staff].[Country].[All]" dimensionUniqueName="[staff]" displayFolder="" count="2" memberValueDatatype="130" unbalanced="0">
      <fieldsUsage count="2">
        <fieldUsage x="-1"/>
        <fieldUsage x="1"/>
      </fieldsUsage>
    </cacheHierarchy>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Bonus]" caption="Bonus" attribute="1" defaultMemberUniqueName="[staff].[Bonus].[All]" allUniqueName="[staff].[Bonus].[All]" dimensionUniqueName="[staff]" displayFolder="" count="0" memberValueDatatype="2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Distinct Count of Gender]" caption="Distinct Count of Gender" measure="1" displayFolder="" measureGroup="staff"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refreshedDate="46220.893783217594" backgroundQuery="1" createdVersion="8" refreshedVersion="8" minRefreshableVersion="3" recordCount="0" supportSubquery="1" supportAdvancedDrill="1" xr:uid="{4071445F-8557-44CF-A039-86704E12FE66}">
  <cacheSource type="external" connectionId="4"/>
  <cacheFields count="3">
    <cacheField name="[staff].[Department].[Department]" caption="Department" numFmtId="0" hierarchy="2" level="1">
      <sharedItems count="5">
        <s v="Finance"/>
        <s v="HR"/>
        <s v="Procurement"/>
        <s v="Sales"/>
        <s v="Website"/>
      </sharedItems>
    </cacheField>
    <cacheField name="[staff].[Country].[Country]" caption="Country" numFmtId="0" hierarchy="7" level="1">
      <sharedItems containsSemiMixedTypes="0" containsNonDate="0" containsString="0"/>
    </cacheField>
    <cacheField name="[Measures].[Count of Name]" caption="Count of Name" numFmtId="0" hierarchy="17" level="32767"/>
  </cacheFields>
  <cacheHierarchies count="26">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Age]" caption="Age" attribute="1" defaultMemberUniqueName="[staff].[Age].[All]" allUniqueName="[staff].[Age].[All]" dimensionUniqueName="[staff]" displayFolder="" count="0" memberValueDatatype="20" unbalanced="0"/>
    <cacheHierarchy uniqueName="[staff].[Date Joined]" caption="Date Joined" attribute="1" time="1" defaultMemberUniqueName="[staff].[Date Joined].[All]" allUniqueName="[staff].[Date Joined].[All]" dimensionUniqueName="[staff]" displayFolder="" count="0" memberValueDatatype="7" unbalanced="0"/>
    <cacheHierarchy uniqueName="[staff].[Salary]" caption="Salary" attribute="1" defaultMemberUniqueName="[staff].[Salary].[All]" allUniqueName="[staff].[Salary].[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Country]" caption="Country" attribute="1" defaultMemberUniqueName="[staff].[Country].[All]" allUniqueName="[staff].[Country].[All]" dimensionUniqueName="[staff]" displayFolder="" count="2" memberValueDatatype="130" unbalanced="0">
      <fieldsUsage count="2">
        <fieldUsage x="-1"/>
        <fieldUsage x="1"/>
      </fieldsUsage>
    </cacheHierarchy>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Bonus]" caption="Bonus" attribute="1" defaultMemberUniqueName="[staff].[Bonus].[All]" allUniqueName="[staff].[Bonus].[All]" dimensionUniqueName="[staff]" displayFolder="" count="0" memberValueDatatype="2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Distinct Count of Gender]" caption="Distinct Count of Gender" measure="1" displayFolder="" measureGroup="staff"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refreshedDate="46220.893784375003" backgroundQuery="1" createdVersion="8" refreshedVersion="8" minRefreshableVersion="3" recordCount="0" supportSubquery="1" supportAdvancedDrill="1" xr:uid="{17DB9D08-B196-4CEC-8DCC-EA76D7D5788F}">
  <cacheSource type="external" connectionId="4"/>
  <cacheFields count="5">
    <cacheField name="[staff].[Country].[Country]" caption="Country" numFmtId="0" hierarchy="7" level="1">
      <sharedItems count="2">
        <s v="India"/>
        <s v="nz"/>
      </sharedItems>
    </cacheField>
    <cacheField name="[Measures].[Count of Name]" caption="Count of Name" numFmtId="0" hierarchy="17" level="32767"/>
    <cacheField name="[staff].[Gender].[Gender]" caption="Gender" numFmtId="0" hierarchy="1" level="1">
      <sharedItems count="3">
        <s v="Female"/>
        <s v="Male"/>
        <s v="other"/>
      </sharedItems>
    </cacheField>
    <cacheField name="[Measures].[Average of Salary]" caption="Average of Salary" numFmtId="0" hierarchy="21"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2" memberValueDatatype="130" unbalanced="0">
      <fieldsUsage count="2">
        <fieldUsage x="-1"/>
        <fieldUsage x="2"/>
      </fieldsUsage>
    </cacheHierarchy>
    <cacheHierarchy uniqueName="[staff].[Department]" caption="Department" attribute="1" defaultMemberUniqueName="[staff].[Department].[All]" allUniqueName="[staff].[Department].[All]" dimensionUniqueName="[staff]" displayFolder="" count="0" memberValueDatatype="130" unbalanced="0"/>
    <cacheHierarchy uniqueName="[staff].[Age]" caption="Age" attribute="1" defaultMemberUniqueName="[staff].[Age].[All]" allUniqueName="[staff].[Age].[All]" dimensionUniqueName="[staff]" displayFolder="" count="0" memberValueDatatype="20" unbalanced="0"/>
    <cacheHierarchy uniqueName="[staff].[Date Joined]" caption="Date Joined" attribute="1" time="1" defaultMemberUniqueName="[staff].[Date Joined].[All]" allUniqueName="[staff].[Date Joined].[All]" dimensionUniqueName="[staff]" displayFolder="" count="0" memberValueDatatype="7" unbalanced="0"/>
    <cacheHierarchy uniqueName="[staff].[Salary]" caption="Salary" attribute="1" defaultMemberUniqueName="[staff].[Salary].[All]" allUniqueName="[staff].[Salary].[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Country]" caption="Country" attribute="1" defaultMemberUniqueName="[staff].[Country].[All]" allUniqueName="[staff].[Country].[All]" dimensionUniqueName="[staff]" displayFolder="" count="2" memberValueDatatype="130" unbalanced="0">
      <fieldsUsage count="2">
        <fieldUsage x="-1"/>
        <fieldUsage x="0"/>
      </fieldsUsage>
    </cacheHierarchy>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Bonus]" caption="Bonus" attribute="1" defaultMemberUniqueName="[staff].[Bonus].[All]" allUniqueName="[staff].[Bonus].[All]" dimensionUniqueName="[staff]" displayFolder="" count="0" memberValueDatatype="2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staff"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Distinct Count of Gender]" caption="Distinct Count of Gender" measure="1" displayFolder="" measureGroup="staff" count="0" hidden="1">
      <extLst>
        <ext xmlns:x15="http://schemas.microsoft.com/office/spreadsheetml/2010/11/main" uri="{B97F6D7D-B522-45F9-BDA1-12C45D357490}">
          <x15:cacheHierarchy aggregatedColumn="1"/>
        </ext>
      </extLst>
    </cacheHierarchy>
    <cacheHierarchy uniqueName="Unsupported0" caption="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refreshedDate="46220.893778124999" backgroundQuery="1" createdVersion="3" refreshedVersion="8" minRefreshableVersion="3" recordCount="0" supportSubquery="1" supportAdvancedDrill="1" xr:uid="{92571D46-C8F6-41F5-A8FB-2B811F64E648}">
  <cacheSource type="external" connectionId="4">
    <extLst>
      <ext xmlns:x14="http://schemas.microsoft.com/office/spreadsheetml/2009/9/main" uri="{F057638F-6D5F-4e77-A914-E7F072B9BCA8}">
        <x14:sourceConnection name="ThisWorkbookDataModel"/>
      </ext>
    </extLst>
  </cacheSource>
  <cacheFields count="0"/>
  <cacheHierarchies count="26">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cacheHierarchy uniqueName="[staff].[Age]" caption="Age" attribute="1" defaultMemberUniqueName="[staff].[Age].[All]" allUniqueName="[staff].[Age].[All]" dimensionUniqueName="[staff]" displayFolder="" count="0" memberValueDatatype="20" unbalanced="0"/>
    <cacheHierarchy uniqueName="[staff].[Date Joined]" caption="Date Joined" attribute="1" time="1" defaultMemberUniqueName="[staff].[Date Joined].[All]" allUniqueName="[staff].[Date Joined].[All]" dimensionUniqueName="[staff]" displayFolder="" count="0" memberValueDatatype="7" unbalanced="0"/>
    <cacheHierarchy uniqueName="[staff].[Salary]" caption="Salary" attribute="1" defaultMemberUniqueName="[staff].[Salary].[All]" allUniqueName="[staff].[Salary].[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Country]" caption="Country" attribute="1" defaultMemberUniqueName="[staff].[Country].[All]" allUniqueName="[staff].[Country].[All]" dimensionUniqueName="[staff]" displayFolder="" count="2" memberValueDatatype="130" unbalanced="0"/>
    <cacheHierarchy uniqueName="[staff].[Tenure]" caption="Tenure" attribute="1" defaultMemberUniqueName="[staff].[Tenure].[All]" allUniqueName="[staff].[Tenure].[All]" dimensionUniqueName="[staff]" displayFolder="" count="0" memberValueDatatype="5" unbalanced="0"/>
    <cacheHierarchy uniqueName="[staff].[Date Joined (Year)]" caption="Date Joined (Year)" attribute="1" defaultMemberUniqueName="[staff].[Date Joined (Year)].[All]" allUniqueName="[staff].[Date Joined (Year)].[All]" dimensionUniqueName="[staff]" displayFolder="" count="0" memberValueDatatype="130" unbalanced="0"/>
    <cacheHierarchy uniqueName="[staff].[Date Joined (Quarter)]" caption="Date Joined (Quarter)" attribute="1" defaultMemberUniqueName="[staff].[Date Joined (Quarter)].[All]" allUniqueName="[staff].[Date Joined (Quarter)].[All]" dimensionUniqueName="[staff]" displayFolder="" count="0" memberValueDatatype="130" unbalanced="0"/>
    <cacheHierarchy uniqueName="[staff].[Date Joined (Month)]" caption="Date Joined (Month)" attribute="1" defaultMemberUniqueName="[staff].[Date Joined (Month)].[All]" allUniqueName="[staff].[Date Joined (Month)].[All]" dimensionUniqueName="[staff]" displayFolder="" count="0" memberValueDatatype="130" unbalanced="0"/>
    <cacheHierarchy uniqueName="[staff].[Bonus]" caption="Bonus" attribute="1" defaultMemberUniqueName="[staff].[Bonus].[All]" allUniqueName="[staff].[Bonus].[All]" dimensionUniqueName="[staff]" displayFolder="" count="0" memberValueDatatype="20" unbalanced="0"/>
    <cacheHierarchy uniqueName="[staff].[Rating As Number]" caption="Rating As Number" attribute="1" defaultMemberUniqueName="[staff].[Rating As Number].[All]" allUniqueName="[staff].[Rating As Number].[All]" dimensionUniqueName="[staff]" displayFolder="" count="0" memberValueDatatype="20" unbalanced="0"/>
    <cacheHierarchy uniqueName="[staff].[Date Joined (Month Index)]" caption="Date Joined (Month Index)" attribute="1" defaultMemberUniqueName="[staff].[Date Joined (Month Index)].[All]" allUniqueName="[staff].[Date Joined (Month Index)].[All]" dimensionUniqueName="[staff]" displayFolder="" count="0" memberValueDatatype="20" unbalanced="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staff"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staff"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staff" count="0" hidden="1">
      <extLst>
        <ext xmlns:x15="http://schemas.microsoft.com/office/spreadsheetml/2010/11/main" uri="{B97F6D7D-B522-45F9-BDA1-12C45D357490}">
          <x15:cacheHierarchy aggregatedColumn="1"/>
        </ext>
      </extLst>
    </cacheHierarchy>
    <cacheHierarchy uniqueName="[Measures].[Distinct Count of Gender]" caption="Distinct Count of Gender" measure="1" displayFolder="" measureGroup="staff"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0846323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ECDE62-6378-4783-984A-7BCF5C70947D}" name="PivotTable1" cacheId="5"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B11:J16" firstHeaderRow="1" firstDataRow="3" firstDataCol="1"/>
  <pivotFields count="5">
    <pivotField axis="axisCol" allDrilled="1" subtotalTop="0" showAll="0" sortType="ascending" defaultAttributeDrillState="1">
      <items count="3">
        <item x="0"/>
        <item x="1"/>
        <item t="default"/>
      </items>
    </pivotField>
    <pivotField dataField="1" subtotalTop="0" showAll="0" defaultSubtotal="0"/>
    <pivotField axis="axisCol" allDrilled="1" subtotalTop="0" showAll="0" dataSourceSort="1" defaultAttributeDrillState="1">
      <items count="4">
        <item x="0"/>
        <item x="1"/>
        <item x="2"/>
        <item t="default"/>
      </items>
    </pivotField>
    <pivotField dataField="1" subtotalTop="0"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i="1">
      <x v="1"/>
    </i>
    <i i="2">
      <x v="2"/>
    </i>
  </rowItems>
  <colFields count="2">
    <field x="0"/>
    <field x="2"/>
  </colFields>
  <colItems count="8">
    <i>
      <x/>
      <x/>
    </i>
    <i r="1">
      <x v="1"/>
    </i>
    <i r="1">
      <x v="2"/>
    </i>
    <i t="default">
      <x/>
    </i>
    <i>
      <x v="1"/>
      <x/>
    </i>
    <i r="1">
      <x v="1"/>
    </i>
    <i r="1">
      <x v="2"/>
    </i>
    <i t="default">
      <x v="1"/>
    </i>
  </colItems>
  <dataFields count="3">
    <dataField name="amount of gender" fld="1" subtotal="count" baseField="2" baseItem="0"/>
    <dataField name="percent of gender" fld="4" subtotal="count" baseField="0" baseItem="0" numFmtId="9">
      <extLst>
        <ext xmlns:x14="http://schemas.microsoft.com/office/spreadsheetml/2009/9/main" uri="{E15A36E0-9728-4e99-A89B-3F7291B0FE68}">
          <x14:dataField pivotShowAs="percentOfParentCol" sourceField="1" uniqueName="[__Xl2].[Measures].[Count of Name]"/>
        </ext>
      </extLst>
    </dataField>
    <dataField name="Average of Salary" fld="3" subtotal="average" baseField="2" baseItem="0" numFmtId="1"/>
  </dataFields>
  <formats count="27">
    <format dxfId="52">
      <pivotArea type="all" dataOnly="0" outline="0" fieldPosition="0"/>
    </format>
    <format dxfId="51">
      <pivotArea outline="0" collapsedLevelsAreSubtotals="1" fieldPosition="0"/>
    </format>
    <format dxfId="50">
      <pivotArea type="origin" dataOnly="0" labelOnly="1" outline="0" fieldPosition="0"/>
    </format>
    <format dxfId="49">
      <pivotArea field="0" type="button" dataOnly="0" labelOnly="1" outline="0" axis="axisCol" fieldPosition="0"/>
    </format>
    <format dxfId="48">
      <pivotArea field="2" type="button" dataOnly="0" labelOnly="1" outline="0" axis="axisCol" fieldPosition="1"/>
    </format>
    <format dxfId="47">
      <pivotArea type="topRight" dataOnly="0" labelOnly="1" outline="0" fieldPosition="0"/>
    </format>
    <format dxfId="46">
      <pivotArea field="-2" type="button" dataOnly="0" labelOnly="1" outline="0" axis="axisRow" fieldPosition="0"/>
    </format>
    <format dxfId="45">
      <pivotArea dataOnly="0" labelOnly="1" outline="0" fieldPosition="0">
        <references count="1">
          <reference field="4294967294" count="3">
            <x v="0"/>
            <x v="1"/>
            <x v="2"/>
          </reference>
        </references>
      </pivotArea>
    </format>
    <format dxfId="44">
      <pivotArea dataOnly="0" labelOnly="1" fieldPosition="0">
        <references count="1">
          <reference field="0" count="0"/>
        </references>
      </pivotArea>
    </format>
    <format dxfId="43">
      <pivotArea dataOnly="0" labelOnly="1" fieldPosition="0">
        <references count="1">
          <reference field="0" count="0" defaultSubtotal="1"/>
        </references>
      </pivotArea>
    </format>
    <format dxfId="42">
      <pivotArea dataOnly="0" labelOnly="1" fieldPosition="0">
        <references count="2">
          <reference field="0" count="1" selected="0">
            <x v="0"/>
          </reference>
          <reference field="2" count="0"/>
        </references>
      </pivotArea>
    </format>
    <format dxfId="41">
      <pivotArea dataOnly="0" labelOnly="1" fieldPosition="0">
        <references count="2">
          <reference field="0" count="1" selected="0">
            <x v="1"/>
          </reference>
          <reference field="2" count="0"/>
        </references>
      </pivotArea>
    </format>
    <format dxfId="40">
      <pivotArea type="all" dataOnly="0" outline="0" fieldPosition="0"/>
    </format>
    <format dxfId="39">
      <pivotArea outline="0" collapsedLevelsAreSubtotals="1" fieldPosition="0"/>
    </format>
    <format dxfId="38">
      <pivotArea type="origin" dataOnly="0" labelOnly="1" outline="0" fieldPosition="0"/>
    </format>
    <format dxfId="37">
      <pivotArea field="0" type="button" dataOnly="0" labelOnly="1" outline="0" axis="axisCol" fieldPosition="0"/>
    </format>
    <format dxfId="36">
      <pivotArea field="2" type="button" dataOnly="0" labelOnly="1" outline="0" axis="axisCol" fieldPosition="1"/>
    </format>
    <format dxfId="35">
      <pivotArea type="topRight" dataOnly="0" labelOnly="1" outline="0" fieldPosition="0"/>
    </format>
    <format dxfId="34">
      <pivotArea field="-2" type="button" dataOnly="0" labelOnly="1" outline="0" axis="axisRow" fieldPosition="0"/>
    </format>
    <format dxfId="33">
      <pivotArea dataOnly="0" labelOnly="1" outline="0" fieldPosition="0">
        <references count="1">
          <reference field="4294967294" count="3">
            <x v="0"/>
            <x v="1"/>
            <x v="2"/>
          </reference>
        </references>
      </pivotArea>
    </format>
    <format dxfId="32">
      <pivotArea dataOnly="0" labelOnly="1" fieldPosition="0">
        <references count="1">
          <reference field="0" count="0"/>
        </references>
      </pivotArea>
    </format>
    <format dxfId="31">
      <pivotArea dataOnly="0" labelOnly="1" fieldPosition="0">
        <references count="1">
          <reference field="0" count="0" defaultSubtotal="1"/>
        </references>
      </pivotArea>
    </format>
    <format dxfId="30">
      <pivotArea dataOnly="0" labelOnly="1" fieldPosition="0">
        <references count="2">
          <reference field="0" count="1" selected="0">
            <x v="0"/>
          </reference>
          <reference field="2" count="0"/>
        </references>
      </pivotArea>
    </format>
    <format dxfId="29">
      <pivotArea dataOnly="0" labelOnly="1" fieldPosition="0">
        <references count="2">
          <reference field="0" count="1" selected="0">
            <x v="1"/>
          </reference>
          <reference field="2" count="0"/>
        </references>
      </pivotArea>
    </format>
    <format dxfId="28">
      <pivotArea collapsedLevelsAreSubtotals="1" fieldPosition="0">
        <references count="2">
          <reference field="4294967294" count="1">
            <x v="1"/>
          </reference>
          <reference field="0" count="1" selected="0" defaultSubtotal="1">
            <x v="1"/>
          </reference>
        </references>
      </pivotArea>
    </format>
    <format dxfId="27">
      <pivotArea collapsedLevelsAreSubtotals="1" fieldPosition="0">
        <references count="2">
          <reference field="4294967294" count="1">
            <x v="1"/>
          </reference>
          <reference field="0" count="1" selected="0" defaultSubtotal="1">
            <x v="0"/>
          </reference>
        </references>
      </pivotArea>
    </format>
    <format dxfId="26">
      <pivotArea collapsedLevelsAreSubtotals="1" fieldPosition="0">
        <references count="3">
          <reference field="4294967294" count="1">
            <x v="1"/>
          </reference>
          <reference field="0" count="1" selected="0">
            <x v="1"/>
          </reference>
          <reference field="2" count="0" selected="0"/>
        </references>
      </pivotArea>
    </format>
  </format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amount of gender"/>
    <pivotHierarchy dragToData="1"/>
    <pivotHierarchy dragToData="1"/>
    <pivotHierarchy dragToData="1"/>
    <pivotHierarchy dragToData="1" caption="Average of Salary"/>
    <pivotHierarchy dragToData="1"/>
    <pivotHierarchy dragToData="1"/>
    <pivotHierarchy dragToData="1"/>
    <pivotHierarchy dragToData="1" caption="Distinct Count of Gender"/>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7" showRowHeaders="1" showColHeaders="1" showRowStripes="0" showColStripes="0" showLastColumn="1"/>
  <rowHierarchiesUsage count="1">
    <rowHierarchyUsage hierarchyUsage="-2"/>
  </rowHierarchiesUsage>
  <colHierarchiesUsage count="2">
    <colHierarchyUsage hierarchyUsage="7"/>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1810C7-CFBE-49D0-99F6-0EA6858687EC}"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4:C9" firstHeaderRow="1" firstDataRow="1" firstDataCol="1" rowPageCount="1" colPageCount="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5">
    <i>
      <x v="2"/>
    </i>
    <i>
      <x v="4"/>
    </i>
    <i>
      <x/>
    </i>
    <i>
      <x v="3"/>
    </i>
    <i>
      <x v="1"/>
    </i>
  </rowItems>
  <colItems count="1">
    <i/>
  </colItems>
  <pageFields count="1">
    <pageField fld="1" hier="7" name="[staff].[Country].&amp;[India]" cap="India"/>
  </pageFields>
  <dataFields count="1">
    <dataField name="Count of Name" fld="2" subtotal="count" baseField="0" baseItem="0"/>
  </dataFields>
  <formats count="10">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ff].[Country].&amp;[India]"/>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D113D-0E26-49D5-8046-B15B6BDA3659}"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I4:J9" firstHeaderRow="1" firstDataRow="1" firstDataCol="1" rowPageCount="1" colPageCount="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5">
    <i>
      <x v="4"/>
    </i>
    <i>
      <x v="2"/>
    </i>
    <i>
      <x/>
    </i>
    <i>
      <x v="3"/>
    </i>
    <i>
      <x v="1"/>
    </i>
  </rowItems>
  <colItems count="1">
    <i/>
  </colItems>
  <pageFields count="1">
    <pageField fld="1" hier="7" name="[staff].[Country].&amp;[nz]" cap="nz"/>
  </pageFields>
  <dataFields count="1">
    <dataField name="Count of Name" fld="2" subtotal="count" baseField="0" baseItem="0"/>
  </dataFields>
  <formats count="10">
    <format dxfId="72">
      <pivotArea type="all" dataOnly="0" outline="0" fieldPosition="0"/>
    </format>
    <format dxfId="71">
      <pivotArea outline="0" collapsedLevelsAreSubtotals="1" fieldPosition="0"/>
    </format>
    <format dxfId="70">
      <pivotArea field="0" type="button" dataOnly="0" labelOnly="1" outline="0" axis="axisRow" fieldPosition="0"/>
    </format>
    <format dxfId="69">
      <pivotArea dataOnly="0" labelOnly="1" fieldPosition="0">
        <references count="1">
          <reference field="0" count="0"/>
        </references>
      </pivotArea>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ff].[Country].&amp;[nz]"/>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CDE51F-C66C-4D06-9CDD-FE88BDC10C71}"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C6:E43"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item x="1"/>
        <item x="2"/>
        <item x="3"/>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37">
    <i>
      <x/>
    </i>
    <i r="1">
      <x/>
    </i>
    <i r="1">
      <x v="1"/>
    </i>
    <i r="1">
      <x v="2"/>
    </i>
    <i r="1">
      <x v="3"/>
    </i>
    <i r="1">
      <x v="4"/>
    </i>
    <i r="1">
      <x v="5"/>
    </i>
    <i r="1">
      <x v="6"/>
    </i>
    <i r="1">
      <x v="7"/>
    </i>
    <i>
      <x v="1"/>
    </i>
    <i r="1">
      <x v="8"/>
    </i>
    <i r="1">
      <x v="9"/>
    </i>
    <i r="1">
      <x v="10"/>
    </i>
    <i r="1">
      <x v="11"/>
    </i>
    <i r="1">
      <x/>
    </i>
    <i r="1">
      <x v="1"/>
    </i>
    <i r="1">
      <x v="2"/>
    </i>
    <i r="1">
      <x v="3"/>
    </i>
    <i r="1">
      <x v="4"/>
    </i>
    <i r="1">
      <x v="5"/>
    </i>
    <i r="1">
      <x v="6"/>
    </i>
    <i r="1">
      <x v="7"/>
    </i>
    <i>
      <x v="2"/>
    </i>
    <i r="1">
      <x v="8"/>
    </i>
    <i r="1">
      <x v="9"/>
    </i>
    <i r="1">
      <x v="10"/>
    </i>
    <i r="1">
      <x v="11"/>
    </i>
    <i r="1">
      <x/>
    </i>
    <i r="1">
      <x v="1"/>
    </i>
    <i r="1">
      <x v="2"/>
    </i>
    <i r="1">
      <x v="3"/>
    </i>
    <i r="1">
      <x v="4"/>
    </i>
    <i r="1">
      <x v="5"/>
    </i>
    <i>
      <x v="3"/>
    </i>
    <i r="1">
      <x v="9"/>
    </i>
    <i r="1">
      <x v="11"/>
    </i>
    <i t="grand">
      <x/>
    </i>
  </rowItems>
  <colFields count="1">
    <field x="-2"/>
  </colFields>
  <colItems count="2">
    <i>
      <x/>
    </i>
    <i i="1">
      <x v="1"/>
    </i>
  </colItems>
  <dataFields count="2">
    <dataField name="Count of Employees Joined" fld="2" subtotal="count" baseField="1" baseItem="0">
      <extLst>
        <ext xmlns:x14="http://schemas.microsoft.com/office/spreadsheetml/2009/9/main" uri="{E15A36E0-9728-4e99-A89B-3F7291B0FE68}">
          <x14:dataField sourceField="2" uniqueName="[__Xl2].[Measures].[Count of Name]"/>
        </ext>
      </extLst>
    </dataField>
    <dataField name="Running Total" fld="3" subtotal="count" showDataAs="runTotal" baseField="0" baseItem="0">
      <extLst>
        <ext xmlns:x14="http://schemas.microsoft.com/office/spreadsheetml/2009/9/main" uri="{E15A36E0-9728-4e99-A89B-3F7291B0FE68}">
          <x14:dataField sourceField="2"/>
        </ext>
      </extLst>
    </dataField>
  </dataFields>
  <formats count="20">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grandRow="1" outline="0" fieldPosition="0"/>
    </format>
    <format dxfId="20">
      <pivotArea dataOnly="0" labelOnly="1" fieldPosition="0">
        <references count="2">
          <reference field="0" count="8">
            <x v="0"/>
            <x v="1"/>
            <x v="2"/>
            <x v="3"/>
            <x v="4"/>
            <x v="5"/>
            <x v="6"/>
            <x v="7"/>
          </reference>
          <reference field="1" count="1" selected="0">
            <x v="0"/>
          </reference>
        </references>
      </pivotArea>
    </format>
    <format dxfId="19">
      <pivotArea dataOnly="0" labelOnly="1" fieldPosition="0">
        <references count="2">
          <reference field="0" count="0"/>
          <reference field="1" count="1" selected="0">
            <x v="1"/>
          </reference>
        </references>
      </pivotArea>
    </format>
    <format dxfId="18">
      <pivotArea dataOnly="0" labelOnly="1" fieldPosition="0">
        <references count="2">
          <reference field="0" count="10">
            <x v="0"/>
            <x v="1"/>
            <x v="2"/>
            <x v="3"/>
            <x v="4"/>
            <x v="5"/>
            <x v="8"/>
            <x v="9"/>
            <x v="10"/>
            <x v="11"/>
          </reference>
          <reference field="1" count="1" selected="0">
            <x v="2"/>
          </reference>
        </references>
      </pivotArea>
    </format>
    <format dxfId="17">
      <pivotArea dataOnly="0" labelOnly="1" fieldPosition="0">
        <references count="2">
          <reference field="0" count="2">
            <x v="9"/>
            <x v="11"/>
          </reference>
          <reference field="1" count="1" selected="0">
            <x v="3"/>
          </reference>
        </references>
      </pivotArea>
    </format>
    <format dxfId="16">
      <pivotArea dataOnly="0" labelOnly="1" outline="0" fieldPosition="0">
        <references count="1">
          <reference field="4294967294" count="2">
            <x v="0"/>
            <x v="1"/>
          </reference>
        </references>
      </pivotArea>
    </format>
    <format dxfId="15">
      <pivotArea type="all" dataOnly="0" outline="0" fieldPosition="0"/>
    </format>
    <format dxfId="14">
      <pivotArea outline="0" collapsedLevelsAreSubtotals="1" fieldPosition="0"/>
    </format>
    <format dxfId="13">
      <pivotArea field="1" type="button" dataOnly="0" labelOnly="1" outline="0" axis="axisRow" fieldPosition="0"/>
    </format>
    <format dxfId="12">
      <pivotArea dataOnly="0" labelOnly="1" fieldPosition="0">
        <references count="1">
          <reference field="1" count="0"/>
        </references>
      </pivotArea>
    </format>
    <format dxfId="11">
      <pivotArea dataOnly="0" labelOnly="1" grandRow="1" outline="0" fieldPosition="0"/>
    </format>
    <format dxfId="10">
      <pivotArea dataOnly="0" labelOnly="1" fieldPosition="0">
        <references count="2">
          <reference field="0" count="8">
            <x v="0"/>
            <x v="1"/>
            <x v="2"/>
            <x v="3"/>
            <x v="4"/>
            <x v="5"/>
            <x v="6"/>
            <x v="7"/>
          </reference>
          <reference field="1" count="1" selected="0">
            <x v="0"/>
          </reference>
        </references>
      </pivotArea>
    </format>
    <format dxfId="9">
      <pivotArea dataOnly="0" labelOnly="1" fieldPosition="0">
        <references count="2">
          <reference field="0" count="0"/>
          <reference field="1" count="1" selected="0">
            <x v="1"/>
          </reference>
        </references>
      </pivotArea>
    </format>
    <format dxfId="8">
      <pivotArea dataOnly="0" labelOnly="1" fieldPosition="0">
        <references count="2">
          <reference field="0" count="10">
            <x v="0"/>
            <x v="1"/>
            <x v="2"/>
            <x v="3"/>
            <x v="4"/>
            <x v="5"/>
            <x v="8"/>
            <x v="9"/>
            <x v="10"/>
            <x v="11"/>
          </reference>
          <reference field="1" count="1" selected="0">
            <x v="2"/>
          </reference>
        </references>
      </pivotArea>
    </format>
    <format dxfId="7">
      <pivotArea dataOnly="0" labelOnly="1" fieldPosition="0">
        <references count="2">
          <reference field="0" count="2">
            <x v="9"/>
            <x v="11"/>
          </reference>
          <reference field="1" count="1" selected="0">
            <x v="3"/>
          </reference>
        </references>
      </pivotArea>
    </format>
    <format dxfId="6">
      <pivotArea dataOnly="0" labelOnly="1" outline="0" fieldPosition="0">
        <references count="1">
          <reference field="4294967294" count="2">
            <x v="0"/>
            <x v="1"/>
          </reference>
        </references>
      </pivotArea>
    </format>
  </formats>
  <chartFormats count="2">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unning Total"/>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9"/>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69C81F-1A3F-4BAA-B1EE-FD59511BBB1A}"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8:D14" firstHeaderRow="0" firstDataRow="1" firstDataCol="1"/>
  <pivotFields count="3">
    <pivotField axis="axisRow" allDrilled="1" subtotalTop="0" showAll="0" defaultSubtotal="0" defaultAttributeDrillState="1">
      <items count="5">
        <item x="2"/>
        <item x="0"/>
        <item x="1"/>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Name" fld="1" subtotal="count" baseField="0" baseItem="0"/>
    <dataField name="Average of Salary" fld="2" subtotal="average" baseField="0" baseItem="0" numFmtId="1"/>
  </dataFields>
  <formats count="4">
    <format dxfId="5">
      <pivotArea collapsedLevelsAreSubtotals="1" fieldPosition="0">
        <references count="2">
          <reference field="4294967294" count="1" selected="0">
            <x v="1"/>
          </reference>
          <reference field="0" count="1">
            <x v="2"/>
          </reference>
        </references>
      </pivotArea>
    </format>
    <format dxfId="4">
      <pivotArea collapsedLevelsAreSubtotals="1" fieldPosition="0">
        <references count="2">
          <reference field="4294967294" count="1" selected="0">
            <x v="1"/>
          </reference>
          <reference field="0" count="1">
            <x v="4"/>
          </reference>
        </references>
      </pivotArea>
    </format>
    <format dxfId="3">
      <pivotArea outline="0" fieldPosition="0">
        <references count="1">
          <reference field="4294967294" count="1">
            <x v="1"/>
          </reference>
        </references>
      </pivotArea>
    </format>
    <format dxfId="2">
      <pivotArea field="0" grandRow="1" outline="0" collapsedLevelsAreSubtotals="1" axis="axisRow" fieldPosition="0">
        <references count="1">
          <reference field="4294967294" count="1" selected="0">
            <x v="1"/>
          </reference>
        </references>
      </pivotArea>
    </format>
  </formats>
  <conditionalFormats count="1">
    <conditionalFormat priority="1">
      <pivotAreas count="1">
        <pivotArea outline="0" fieldPosition="0">
          <references count="1">
            <reference field="4294967294" count="1">
              <x v="1"/>
            </reference>
          </references>
        </pivotArea>
      </pivotAreas>
    </conditionalFormat>
  </conditional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4F4048-0CFA-4160-8CFD-307D557EF3D2}" name="PivotTable1" cacheId="2"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8:F14" firstHeaderRow="1" firstDataRow="2"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i="1">
      <x v="1"/>
    </i>
    <i i="2">
      <x v="2"/>
    </i>
    <i i="3">
      <x v="3"/>
    </i>
    <i i="4">
      <x v="4"/>
    </i>
  </rowItems>
  <colFields count="1">
    <field x="4"/>
  </colFields>
  <colItems count="3">
    <i>
      <x/>
    </i>
    <i>
      <x v="1"/>
    </i>
    <i t="grand">
      <x/>
    </i>
  </colItems>
  <dataFields count="5">
    <dataField name="Count of Name" fld="0" subtotal="count" baseField="0" baseItem="0"/>
    <dataField name="Average of Age" fld="1" subtotal="average" baseField="0" baseItem="0" numFmtId="1"/>
    <dataField name="Sum of Salary" fld="2" baseField="0" baseItem="0"/>
    <dataField name="Average of Salary2" fld="3" subtotal="average" baseField="0" baseItem="0"/>
    <dataField name="Average of Tenure" fld="5" subtotal="average" baseField="4" baseItem="0" numFmtId="165"/>
  </dataFields>
  <pivotHierarchies count="26">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pivotHierarchy dragToData="1" caption="Average of Salary2"/>
    <pivotHierarchy dragToData="1"/>
    <pivotHierarchy dragToData="1" caption="Average of Tenure"/>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ank-data-file.xlsx!staff">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4B9A929-4552-4A34-B657-8130598EC161}" autoFormatId="16" applyNumberFormats="0" applyBorderFormats="0" applyFontFormats="0" applyPatternFormats="0" applyAlignmentFormats="0" applyWidthHeightFormats="0">
  <queryTableRefresh nextId="12" unboundColumnsRight="3">
    <queryTableFields count="11">
      <queryTableField id="1" name="Name" tableColumnId="1"/>
      <queryTableField id="2" name="Gender" tableColumnId="2"/>
      <queryTableField id="3" name="Department" tableColumnId="3"/>
      <queryTableField id="4" name="Age" tableColumnId="4"/>
      <queryTableField id="5" name="Date Joined" tableColumnId="5"/>
      <queryTableField id="6" name="Salary" tableColumnId="6"/>
      <queryTableField id="7" name="Rating" tableColumnId="7"/>
      <queryTableField id="8" name="Country" tableColumnId="8"/>
      <queryTableField id="9" dataBound="0" tableColumnId="9"/>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6A587B5-38DE-4757-BBAC-9D6B1AF4C0BD}" sourceName="[staff].[Country]">
  <pivotTables>
    <pivotTable tabId="6" name="PivotTable1"/>
  </pivotTables>
  <data>
    <olap pivotCacheId="1084632393">
      <levels count="2">
        <level uniqueName="[staff].[Country].[(All)]" sourceCaption="(All)" count="0"/>
        <level uniqueName="[staff].[Country].[Country]" sourceCaption="Country" count="2">
          <ranges>
            <range startItem="0">
              <i n="[staff].[Country].&amp;[India]" c="India"/>
              <i n="[staff].[Country].&amp;[nz]" c="nz"/>
            </range>
          </ranges>
        </level>
      </levels>
      <selections count="1">
        <selection n="[staff].[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D12AF7C-F884-4E06-A15C-A8A91ED85DBC}" sourceName="[staff].[Department]">
  <pivotTables>
    <pivotTable tabId="6" name="PivotTable1"/>
  </pivotTables>
  <data>
    <olap pivotCacheId="1084632393">
      <levels count="2">
        <level uniqueName="[staff].[Department].[(All)]" sourceCaption="(All)" count="0"/>
        <level uniqueName="[staff].[Department].[Department]" sourceCaption="Department" count="5">
          <ranges>
            <range startItem="0">
              <i n="[staff].[Department].&amp;[Finance]" c="Finance"/>
              <i n="[staff].[Department].&amp;[HR]" c="HR"/>
              <i n="[staff].[Department].&amp;[Procurement]" c="Procurement"/>
              <i n="[staff].[Department].&amp;[Sales]" c="Sales"/>
              <i n="[staff].[Department].&amp;[Website]" c="Website"/>
            </range>
          </ranges>
        </level>
      </levels>
      <selections count="1">
        <selection n="[staff].[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E788BEA-6593-4FAD-874B-461AD9444BCD}" cache="Slicer_Country" caption="Country" level="1" rowHeight="234950"/>
  <slicer name="Department" xr10:uid="{704A0E27-B7C8-45C5-8F8A-63D04B4E17D1}" cache="Slicer_Department" caption="Department" level="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292AFA-DA01-47BF-99EC-9F2A008ED64E}" name="nz_staff" displayName="nz_staff" ref="C5:I106" totalsRowCount="1" headerRowDxfId="117" dataDxfId="116">
  <autoFilter ref="C5:I105" xr:uid="{64292AFA-DA01-47BF-99EC-9F2A008ED64E}"/>
  <tableColumns count="7">
    <tableColumn id="1" xr3:uid="{DA05C505-11BA-4E4A-8EDC-28D7E4FC37D9}" name="Name" totalsRowLabel="Total" dataDxfId="115" totalsRowDxfId="114"/>
    <tableColumn id="2" xr3:uid="{29C526D3-402D-436D-B005-5A2071629EB3}" name="Gender" dataDxfId="113" totalsRowDxfId="112"/>
    <tableColumn id="3" xr3:uid="{2C01DB56-A092-44B9-A8A3-6EC57FF8DF17}" name="Department" dataDxfId="111" totalsRowDxfId="110"/>
    <tableColumn id="4" xr3:uid="{D58DBFA7-C788-4776-A3ED-857B585F9F95}" name="Age" totalsRowFunction="average" dataDxfId="109" totalsRowDxfId="108"/>
    <tableColumn id="5" xr3:uid="{1D232050-1BC0-4737-BBFC-0602D5475C77}" name="Date Joined" dataDxfId="107" totalsRowDxfId="106"/>
    <tableColumn id="6" xr3:uid="{A1EE40F0-9C3F-47D0-8C44-92F8DADA0A56}" name="Salary" totalsRowFunction="average" dataDxfId="105" totalsRowDxfId="104" dataCellStyle="Currency" totalsRowCellStyle="Currency"/>
    <tableColumn id="7" xr3:uid="{D12B65A8-BCAE-4A85-A750-A7C1682E4AFA}" name="Rating" totalsRowFunction="count" dataDxfId="103" totalsRowDxfId="10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81589C-0F31-4BFE-8B6D-B6E3E31A617E}" name="India_Staff" displayName="India_Staff" ref="B2:H115" totalsRowCount="1" headerRowDxfId="101" dataDxfId="100">
  <autoFilter ref="B2:H114" xr:uid="{4981589C-0F31-4BFE-8B6D-B6E3E31A617E}"/>
  <tableColumns count="7">
    <tableColumn id="1" xr3:uid="{E9F68B6C-0E0F-44E5-8E6A-A91FF8CB4D33}" name="Name" totalsRowFunction="count" dataDxfId="99" totalsRowDxfId="98"/>
    <tableColumn id="2" xr3:uid="{54A11CB7-94B8-46F1-9119-0238F82C60B2}" name="Gender" dataDxfId="97" totalsRowDxfId="96"/>
    <tableColumn id="3" xr3:uid="{518D45DF-5D1D-4389-AA7F-E07102BDF4DD}" name="Age" totalsRowFunction="average" dataDxfId="95" totalsRowDxfId="94"/>
    <tableColumn id="4" xr3:uid="{B7657BDD-2989-4E82-AA71-3DD465E56F3D}" name="Rating" dataDxfId="93" totalsRowDxfId="92"/>
    <tableColumn id="5" xr3:uid="{2186F405-7EBC-4AB7-9199-4AA82B4B23E6}" name="Date Joined" dataDxfId="91" totalsRowDxfId="90"/>
    <tableColumn id="6" xr3:uid="{836B94E9-6EDE-4B3F-8FCC-1A9DB1649AD1}" name="Department" dataDxfId="89" totalsRowDxfId="88"/>
    <tableColumn id="7" xr3:uid="{DFFEE365-3BAD-40DD-91CC-6D50D395E06E}" name="Salary" totalsRowFunction="average" dataDxfId="87" totalsRowDxfId="86" dataCellStyle="Currency" totalsRowCellStyle="Currency"/>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FA385-B9F9-4C30-8C9A-BB8E76794610}" name="staff" displayName="staff" ref="A1:K184" tableType="queryTable" totalsRowShown="0" headerRowDxfId="85" dataDxfId="84">
  <autoFilter ref="A1:K184" xr:uid="{40DFA385-B9F9-4C30-8C9A-BB8E76794610}"/>
  <sortState xmlns:xlrd2="http://schemas.microsoft.com/office/spreadsheetml/2017/richdata2" ref="A2:K184">
    <sortCondition ref="F1:F184"/>
  </sortState>
  <tableColumns count="11">
    <tableColumn id="1" xr3:uid="{D7E9A09B-81F7-4965-AD80-46FBB4329602}" uniqueName="1" name="Name" queryTableFieldId="1" dataDxfId="83"/>
    <tableColumn id="2" xr3:uid="{CCB46CB8-0B2F-416D-991A-5EF7370BB852}" uniqueName="2" name="Gender" queryTableFieldId="2" dataDxfId="82"/>
    <tableColumn id="3" xr3:uid="{3525E829-1050-4834-B712-C9DC2C99EE8B}" uniqueName="3" name="Department" queryTableFieldId="3" dataDxfId="81"/>
    <tableColumn id="4" xr3:uid="{DF4116A5-C591-4E1D-BA53-64E01E165883}" uniqueName="4" name="Age" queryTableFieldId="4" dataDxfId="80"/>
    <tableColumn id="5" xr3:uid="{7671CDE4-7C3F-42EB-996C-615FE749429A}" uniqueName="5" name="Date Joined" queryTableFieldId="5" dataDxfId="79"/>
    <tableColumn id="6" xr3:uid="{088DAE48-8849-4C06-A1AB-4C53AB2A6FAA}" uniqueName="6" name="Salary" queryTableFieldId="6" dataDxfId="78" dataCellStyle="Currency"/>
    <tableColumn id="7" xr3:uid="{15420226-129B-44C7-AE86-08EA9F23D36D}" uniqueName="7" name="Rating" queryTableFieldId="7" dataDxfId="77"/>
    <tableColumn id="8" xr3:uid="{DD6D37AD-080A-4F29-977F-07FDA09FCE6C}" uniqueName="8" name="Country" queryTableFieldId="8" dataDxfId="76"/>
    <tableColumn id="9" xr3:uid="{8D9089B3-1215-4046-9DD1-8ED8DD354D49}" uniqueName="9" name="Tenure" queryTableFieldId="9" dataDxfId="75">
      <calculatedColumnFormula>(TODAY()-staff[[#This Row],[Date Joined]])/365</calculatedColumnFormula>
    </tableColumn>
    <tableColumn id="10" xr3:uid="{FBCC53A2-8903-4568-A485-D887A4DC87E0}" uniqueName="10" name="Bonus" queryTableFieldId="10" dataDxfId="74" dataCellStyle="Currency">
      <calculatedColumnFormula>ROUNDUP(IF(staff[[#This Row],[Tenure]]&gt;2,3%,2%)*staff[[#This Row],[Salary]],0)</calculatedColumnFormula>
    </tableColumn>
    <tableColumn id="11" xr3:uid="{FDD3EDA3-BA7F-42CF-BBB2-CE3F8052AB53}" uniqueName="11" name="Rating As Number" queryTableFieldId="11" dataDxfId="73">
      <calculatedColumnFormula>_xlfn.XLOOKUP(staff[[#This Row],[Rating]],'Rating map table'!A$2:A$6,'Rating map table'!B$2:B$6)</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106"/>
  <sheetViews>
    <sheetView showGridLines="0" workbookViewId="0">
      <selection activeCell="C13" sqref="C13"/>
    </sheetView>
  </sheetViews>
  <sheetFormatPr defaultRowHeight="14.4" x14ac:dyDescent="0.3"/>
  <cols>
    <col min="1" max="1" width="1.6640625" style="4" customWidth="1"/>
    <col min="2" max="2" width="3.6640625" style="4" customWidth="1"/>
    <col min="3" max="3" width="35.77734375" style="4" bestFit="1" customWidth="1"/>
    <col min="4" max="4" width="9.33203125" style="4" bestFit="1" customWidth="1"/>
    <col min="5" max="5" width="13.33203125" style="4" bestFit="1" customWidth="1"/>
    <col min="6" max="6" width="10.5546875" style="4" customWidth="1"/>
    <col min="7" max="7" width="16.77734375" style="4" customWidth="1"/>
    <col min="8" max="8" width="12.21875" style="6" customWidth="1"/>
    <col min="9" max="9" width="13.109375" style="4" bestFit="1" customWidth="1"/>
    <col min="10" max="16384" width="8.88671875" style="4"/>
  </cols>
  <sheetData>
    <row r="1" spans="1:9" s="2" customFormat="1" ht="52.5" customHeight="1" x14ac:dyDescent="0.3">
      <c r="A1" s="1"/>
      <c r="C1" s="3" t="s">
        <v>110</v>
      </c>
      <c r="H1" s="8"/>
    </row>
    <row r="5" spans="1:9" x14ac:dyDescent="0.3">
      <c r="C5" s="4" t="s">
        <v>0</v>
      </c>
      <c r="D5" s="4" t="s">
        <v>1</v>
      </c>
      <c r="E5" s="4" t="s">
        <v>2</v>
      </c>
      <c r="F5" s="4" t="s">
        <v>3</v>
      </c>
      <c r="G5" s="5" t="s">
        <v>4</v>
      </c>
      <c r="H5" s="6" t="s">
        <v>5</v>
      </c>
      <c r="I5" s="4" t="s">
        <v>6</v>
      </c>
    </row>
    <row r="6" spans="1:9" x14ac:dyDescent="0.3">
      <c r="C6" s="4" t="s">
        <v>58</v>
      </c>
      <c r="D6" s="4" t="s">
        <v>15</v>
      </c>
      <c r="E6" s="4" t="s">
        <v>19</v>
      </c>
      <c r="F6" s="4">
        <v>22</v>
      </c>
      <c r="G6" s="5">
        <v>44446</v>
      </c>
      <c r="H6" s="6">
        <v>112780</v>
      </c>
      <c r="I6" s="4" t="s">
        <v>13</v>
      </c>
    </row>
    <row r="7" spans="1:9" x14ac:dyDescent="0.3">
      <c r="C7" s="4" t="s">
        <v>70</v>
      </c>
      <c r="D7" s="4" t="s">
        <v>15</v>
      </c>
      <c r="E7" s="4" t="s">
        <v>9</v>
      </c>
      <c r="F7" s="4">
        <v>46</v>
      </c>
      <c r="G7" s="5">
        <v>44758</v>
      </c>
      <c r="H7" s="6">
        <v>70610</v>
      </c>
      <c r="I7" s="4" t="s">
        <v>16</v>
      </c>
    </row>
    <row r="8" spans="1:9" x14ac:dyDescent="0.3">
      <c r="C8" s="4" t="s">
        <v>75</v>
      </c>
      <c r="D8" s="4" t="s">
        <v>8</v>
      </c>
      <c r="E8" s="4" t="s">
        <v>19</v>
      </c>
      <c r="F8" s="4">
        <v>28</v>
      </c>
      <c r="G8" s="5">
        <v>44357</v>
      </c>
      <c r="H8" s="6">
        <v>53240</v>
      </c>
      <c r="I8" s="4" t="s">
        <v>16</v>
      </c>
    </row>
    <row r="9" spans="1:9" x14ac:dyDescent="0.3">
      <c r="C9" s="4" t="s">
        <v>49</v>
      </c>
      <c r="E9" s="4" t="s">
        <v>21</v>
      </c>
      <c r="F9" s="4">
        <v>37</v>
      </c>
      <c r="G9" s="5">
        <v>44146</v>
      </c>
      <c r="H9" s="6">
        <v>115440</v>
      </c>
      <c r="I9" s="4" t="s">
        <v>24</v>
      </c>
    </row>
    <row r="10" spans="1:9" x14ac:dyDescent="0.3">
      <c r="C10" s="4" t="s">
        <v>65</v>
      </c>
      <c r="D10" s="4" t="s">
        <v>15</v>
      </c>
      <c r="E10" s="4" t="s">
        <v>19</v>
      </c>
      <c r="F10" s="4">
        <v>32</v>
      </c>
      <c r="G10" s="5">
        <v>44465</v>
      </c>
      <c r="H10" s="6">
        <v>53540</v>
      </c>
      <c r="I10" s="4" t="s">
        <v>16</v>
      </c>
    </row>
    <row r="11" spans="1:9" x14ac:dyDescent="0.3">
      <c r="C11" s="4" t="s">
        <v>81</v>
      </c>
      <c r="D11" s="4" t="s">
        <v>8</v>
      </c>
      <c r="E11" s="4" t="s">
        <v>9</v>
      </c>
      <c r="F11" s="4">
        <v>30</v>
      </c>
      <c r="G11" s="5">
        <v>44861</v>
      </c>
      <c r="H11" s="6">
        <v>112570</v>
      </c>
      <c r="I11" s="4" t="s">
        <v>16</v>
      </c>
    </row>
    <row r="12" spans="1:9" x14ac:dyDescent="0.3">
      <c r="C12" s="4" t="s">
        <v>51</v>
      </c>
      <c r="D12" s="4" t="s">
        <v>15</v>
      </c>
      <c r="E12" s="4" t="s">
        <v>9</v>
      </c>
      <c r="F12" s="4">
        <v>33</v>
      </c>
      <c r="G12" s="5">
        <v>44701</v>
      </c>
      <c r="H12" s="6">
        <v>48530</v>
      </c>
      <c r="I12" s="4" t="s">
        <v>13</v>
      </c>
    </row>
    <row r="13" spans="1:9" x14ac:dyDescent="0.3">
      <c r="C13" s="4" t="s">
        <v>61</v>
      </c>
      <c r="D13" s="4" t="s">
        <v>8</v>
      </c>
      <c r="E13" s="4" t="s">
        <v>12</v>
      </c>
      <c r="F13" s="4">
        <v>24</v>
      </c>
      <c r="G13" s="5">
        <v>44148</v>
      </c>
      <c r="H13" s="6">
        <v>62780</v>
      </c>
      <c r="I13" s="4" t="s">
        <v>16</v>
      </c>
    </row>
    <row r="14" spans="1:9" x14ac:dyDescent="0.3">
      <c r="C14" s="4" t="s">
        <v>82</v>
      </c>
      <c r="D14" s="4" t="s">
        <v>15</v>
      </c>
      <c r="E14" s="4" t="s">
        <v>12</v>
      </c>
      <c r="F14" s="4">
        <v>33</v>
      </c>
      <c r="G14" s="5">
        <v>44509</v>
      </c>
      <c r="H14" s="6">
        <v>53870</v>
      </c>
      <c r="I14" s="4" t="s">
        <v>16</v>
      </c>
    </row>
    <row r="15" spans="1:9" x14ac:dyDescent="0.3">
      <c r="C15" s="4" t="s">
        <v>60</v>
      </c>
      <c r="D15" s="4" t="s">
        <v>8</v>
      </c>
      <c r="E15" s="4" t="s">
        <v>56</v>
      </c>
      <c r="F15" s="4">
        <v>27</v>
      </c>
      <c r="G15" s="5">
        <v>44122</v>
      </c>
      <c r="H15" s="6">
        <v>119110</v>
      </c>
      <c r="I15" s="4" t="s">
        <v>16</v>
      </c>
    </row>
    <row r="16" spans="1:9" x14ac:dyDescent="0.3">
      <c r="C16" s="4" t="s">
        <v>87</v>
      </c>
      <c r="D16" s="4" t="s">
        <v>15</v>
      </c>
      <c r="E16" s="4" t="s">
        <v>12</v>
      </c>
      <c r="F16" s="4">
        <v>29</v>
      </c>
      <c r="G16" s="5">
        <v>44180</v>
      </c>
      <c r="H16" s="6">
        <v>112110</v>
      </c>
      <c r="I16" s="4" t="s">
        <v>24</v>
      </c>
    </row>
    <row r="17" spans="3:9" x14ac:dyDescent="0.3">
      <c r="C17" s="4" t="s">
        <v>76</v>
      </c>
      <c r="D17" s="4" t="s">
        <v>15</v>
      </c>
      <c r="E17" s="4" t="s">
        <v>19</v>
      </c>
      <c r="F17" s="4">
        <v>25</v>
      </c>
      <c r="G17" s="5">
        <v>44383</v>
      </c>
      <c r="H17" s="6">
        <v>65700</v>
      </c>
      <c r="I17" s="4" t="s">
        <v>16</v>
      </c>
    </row>
    <row r="18" spans="3:9" x14ac:dyDescent="0.3">
      <c r="C18" s="4" t="s">
        <v>97</v>
      </c>
      <c r="D18" s="4" t="s">
        <v>15</v>
      </c>
      <c r="E18" s="4" t="s">
        <v>12</v>
      </c>
      <c r="F18" s="4">
        <v>37</v>
      </c>
      <c r="G18" s="5">
        <v>44701</v>
      </c>
      <c r="H18" s="6">
        <v>69070</v>
      </c>
      <c r="I18" s="4" t="s">
        <v>16</v>
      </c>
    </row>
    <row r="19" spans="3:9" x14ac:dyDescent="0.3">
      <c r="C19" s="4" t="s">
        <v>22</v>
      </c>
      <c r="D19" s="4" t="s">
        <v>15</v>
      </c>
      <c r="E19" s="4" t="s">
        <v>12</v>
      </c>
      <c r="F19" s="4">
        <v>20</v>
      </c>
      <c r="G19" s="5">
        <v>44459</v>
      </c>
      <c r="H19" s="6">
        <v>107700</v>
      </c>
      <c r="I19" s="4" t="s">
        <v>16</v>
      </c>
    </row>
    <row r="20" spans="3:9" x14ac:dyDescent="0.3">
      <c r="C20" s="4" t="s">
        <v>84</v>
      </c>
      <c r="D20" s="4" t="s">
        <v>8</v>
      </c>
      <c r="E20" s="4" t="s">
        <v>12</v>
      </c>
      <c r="F20" s="4">
        <v>32</v>
      </c>
      <c r="G20" s="5">
        <v>44354</v>
      </c>
      <c r="H20" s="6">
        <v>43840</v>
      </c>
      <c r="I20" s="4" t="s">
        <v>13</v>
      </c>
    </row>
    <row r="21" spans="3:9" x14ac:dyDescent="0.3">
      <c r="C21" s="4" t="s">
        <v>105</v>
      </c>
      <c r="D21" s="4" t="s">
        <v>15</v>
      </c>
      <c r="E21" s="4" t="s">
        <v>9</v>
      </c>
      <c r="F21" s="4">
        <v>40</v>
      </c>
      <c r="G21" s="5">
        <v>44263</v>
      </c>
      <c r="H21" s="6">
        <v>99750</v>
      </c>
      <c r="I21" s="4" t="s">
        <v>16</v>
      </c>
    </row>
    <row r="22" spans="3:9" x14ac:dyDescent="0.3">
      <c r="C22" s="4" t="s">
        <v>47</v>
      </c>
      <c r="D22" s="4" t="s">
        <v>15</v>
      </c>
      <c r="E22" s="4" t="s">
        <v>9</v>
      </c>
      <c r="F22" s="4">
        <v>21</v>
      </c>
      <c r="G22" s="5">
        <v>44104</v>
      </c>
      <c r="H22" s="6">
        <v>37920</v>
      </c>
      <c r="I22" s="4" t="s">
        <v>16</v>
      </c>
    </row>
    <row r="23" spans="3:9" x14ac:dyDescent="0.3">
      <c r="C23" s="4" t="s">
        <v>31</v>
      </c>
      <c r="D23" s="4" t="s">
        <v>15</v>
      </c>
      <c r="E23" s="4" t="s">
        <v>9</v>
      </c>
      <c r="F23" s="4">
        <v>21</v>
      </c>
      <c r="G23" s="5">
        <v>44762</v>
      </c>
      <c r="H23" s="6">
        <v>57090</v>
      </c>
      <c r="I23" s="4" t="s">
        <v>16</v>
      </c>
    </row>
    <row r="24" spans="3:9" x14ac:dyDescent="0.3">
      <c r="C24" s="4" t="s">
        <v>30</v>
      </c>
      <c r="D24" s="4" t="s">
        <v>8</v>
      </c>
      <c r="E24" s="4" t="s">
        <v>12</v>
      </c>
      <c r="F24" s="4">
        <v>31</v>
      </c>
      <c r="G24" s="5">
        <v>44145</v>
      </c>
      <c r="H24" s="6">
        <v>41980</v>
      </c>
      <c r="I24" s="4" t="s">
        <v>16</v>
      </c>
    </row>
    <row r="25" spans="3:9" x14ac:dyDescent="0.3">
      <c r="C25" s="4" t="s">
        <v>78</v>
      </c>
      <c r="D25" s="4" t="s">
        <v>15</v>
      </c>
      <c r="E25" s="4" t="s">
        <v>56</v>
      </c>
      <c r="F25" s="4">
        <v>21</v>
      </c>
      <c r="G25" s="5">
        <v>44242</v>
      </c>
      <c r="H25" s="6">
        <v>75880</v>
      </c>
      <c r="I25" s="4" t="s">
        <v>16</v>
      </c>
    </row>
    <row r="26" spans="3:9" x14ac:dyDescent="0.3">
      <c r="C26" s="4" t="s">
        <v>36</v>
      </c>
      <c r="D26" s="4" t="s">
        <v>8</v>
      </c>
      <c r="E26" s="4" t="s">
        <v>21</v>
      </c>
      <c r="F26" s="4">
        <v>34</v>
      </c>
      <c r="G26" s="5">
        <v>44653</v>
      </c>
      <c r="H26" s="6">
        <v>58940</v>
      </c>
      <c r="I26" s="4" t="s">
        <v>16</v>
      </c>
    </row>
    <row r="27" spans="3:9" x14ac:dyDescent="0.3">
      <c r="C27" s="4" t="s">
        <v>27</v>
      </c>
      <c r="D27" s="4" t="s">
        <v>8</v>
      </c>
      <c r="E27" s="4" t="s">
        <v>21</v>
      </c>
      <c r="F27" s="4">
        <v>30</v>
      </c>
      <c r="G27" s="5">
        <v>44389</v>
      </c>
      <c r="H27" s="6">
        <v>67910</v>
      </c>
      <c r="I27" s="4" t="s">
        <v>24</v>
      </c>
    </row>
    <row r="28" spans="3:9" x14ac:dyDescent="0.3">
      <c r="C28" s="4" t="s">
        <v>26</v>
      </c>
      <c r="D28" s="4" t="s">
        <v>8</v>
      </c>
      <c r="E28" s="4" t="s">
        <v>12</v>
      </c>
      <c r="F28" s="4">
        <v>31</v>
      </c>
      <c r="G28" s="5">
        <v>44663</v>
      </c>
      <c r="H28" s="6">
        <v>58100</v>
      </c>
      <c r="I28" s="4" t="s">
        <v>16</v>
      </c>
    </row>
    <row r="29" spans="3:9" x14ac:dyDescent="0.3">
      <c r="C29" s="4" t="s">
        <v>53</v>
      </c>
      <c r="D29" s="4" t="s">
        <v>15</v>
      </c>
      <c r="E29" s="4" t="s">
        <v>21</v>
      </c>
      <c r="F29" s="4">
        <v>27</v>
      </c>
      <c r="G29" s="5">
        <v>44567</v>
      </c>
      <c r="H29" s="6">
        <v>48980</v>
      </c>
      <c r="I29" s="4" t="s">
        <v>16</v>
      </c>
    </row>
    <row r="30" spans="3:9" x14ac:dyDescent="0.3">
      <c r="C30" s="4" t="s">
        <v>20</v>
      </c>
      <c r="E30" s="4" t="s">
        <v>21</v>
      </c>
      <c r="F30" s="4">
        <v>30</v>
      </c>
      <c r="G30" s="5">
        <v>44597</v>
      </c>
      <c r="H30" s="6">
        <v>64000</v>
      </c>
      <c r="I30" s="4" t="s">
        <v>16</v>
      </c>
    </row>
    <row r="31" spans="3:9" x14ac:dyDescent="0.3">
      <c r="C31" s="4" t="s">
        <v>7</v>
      </c>
      <c r="D31" s="4" t="s">
        <v>8</v>
      </c>
      <c r="E31" s="4" t="s">
        <v>9</v>
      </c>
      <c r="F31" s="4">
        <v>42</v>
      </c>
      <c r="G31" s="5">
        <v>44779</v>
      </c>
      <c r="H31" s="6">
        <v>75000</v>
      </c>
      <c r="I31" s="4" t="s">
        <v>10</v>
      </c>
    </row>
    <row r="32" spans="3:9" x14ac:dyDescent="0.3">
      <c r="C32" s="4" t="s">
        <v>74</v>
      </c>
      <c r="D32" s="4" t="s">
        <v>8</v>
      </c>
      <c r="E32" s="4" t="s">
        <v>12</v>
      </c>
      <c r="F32" s="4">
        <v>40</v>
      </c>
      <c r="G32" s="5">
        <v>44337</v>
      </c>
      <c r="H32" s="6">
        <v>87620</v>
      </c>
      <c r="I32" s="4" t="s">
        <v>16</v>
      </c>
    </row>
    <row r="33" spans="3:9" x14ac:dyDescent="0.3">
      <c r="C33" s="4" t="s">
        <v>44</v>
      </c>
      <c r="D33" s="4" t="s">
        <v>8</v>
      </c>
      <c r="E33" s="4" t="s">
        <v>12</v>
      </c>
      <c r="F33" s="4">
        <v>29</v>
      </c>
      <c r="G33" s="5">
        <v>44023</v>
      </c>
      <c r="H33" s="6">
        <v>34980</v>
      </c>
      <c r="I33" s="4" t="s">
        <v>16</v>
      </c>
    </row>
    <row r="34" spans="3:9" x14ac:dyDescent="0.3">
      <c r="C34" s="4" t="s">
        <v>35</v>
      </c>
      <c r="D34" s="4" t="s">
        <v>8</v>
      </c>
      <c r="E34" s="4" t="s">
        <v>21</v>
      </c>
      <c r="F34" s="4">
        <v>28</v>
      </c>
      <c r="G34" s="5">
        <v>44185</v>
      </c>
      <c r="H34" s="6">
        <v>75970</v>
      </c>
      <c r="I34" s="4" t="s">
        <v>16</v>
      </c>
    </row>
    <row r="35" spans="3:9" x14ac:dyDescent="0.3">
      <c r="C35" s="4" t="s">
        <v>38</v>
      </c>
      <c r="D35" s="4" t="s">
        <v>8</v>
      </c>
      <c r="E35" s="4" t="s">
        <v>21</v>
      </c>
      <c r="F35" s="4">
        <v>34</v>
      </c>
      <c r="G35" s="5">
        <v>44612</v>
      </c>
      <c r="H35" s="6">
        <v>60130</v>
      </c>
      <c r="I35" s="4" t="s">
        <v>16</v>
      </c>
    </row>
    <row r="36" spans="3:9" x14ac:dyDescent="0.3">
      <c r="C36" s="4" t="s">
        <v>41</v>
      </c>
      <c r="D36" s="4" t="s">
        <v>8</v>
      </c>
      <c r="E36" s="4" t="s">
        <v>12</v>
      </c>
      <c r="F36" s="4">
        <v>33</v>
      </c>
      <c r="G36" s="5">
        <v>44374</v>
      </c>
      <c r="H36" s="6">
        <v>75480</v>
      </c>
      <c r="I36" s="4" t="s">
        <v>42</v>
      </c>
    </row>
    <row r="37" spans="3:9" x14ac:dyDescent="0.3">
      <c r="C37" s="4" t="s">
        <v>40</v>
      </c>
      <c r="D37" s="4" t="s">
        <v>15</v>
      </c>
      <c r="E37" s="4" t="s">
        <v>9</v>
      </c>
      <c r="F37" s="4">
        <v>33</v>
      </c>
      <c r="G37" s="5">
        <v>44164</v>
      </c>
      <c r="H37" s="6">
        <v>115920</v>
      </c>
      <c r="I37" s="4" t="s">
        <v>16</v>
      </c>
    </row>
    <row r="38" spans="3:9" x14ac:dyDescent="0.3">
      <c r="C38" s="4" t="s">
        <v>48</v>
      </c>
      <c r="D38" s="4" t="s">
        <v>8</v>
      </c>
      <c r="E38" s="4" t="s">
        <v>19</v>
      </c>
      <c r="F38" s="4">
        <v>36</v>
      </c>
      <c r="G38" s="5">
        <v>44494</v>
      </c>
      <c r="H38" s="6">
        <v>78540</v>
      </c>
      <c r="I38" s="4" t="s">
        <v>16</v>
      </c>
    </row>
    <row r="39" spans="3:9" x14ac:dyDescent="0.3">
      <c r="C39" s="4" t="s">
        <v>34</v>
      </c>
      <c r="D39" s="4" t="s">
        <v>15</v>
      </c>
      <c r="E39" s="4" t="s">
        <v>9</v>
      </c>
      <c r="F39" s="4">
        <v>25</v>
      </c>
      <c r="G39" s="5">
        <v>44726</v>
      </c>
      <c r="H39" s="6">
        <v>109190</v>
      </c>
      <c r="I39" s="4" t="s">
        <v>13</v>
      </c>
    </row>
    <row r="40" spans="3:9" x14ac:dyDescent="0.3">
      <c r="C40" s="4" t="s">
        <v>73</v>
      </c>
      <c r="D40" s="4" t="s">
        <v>8</v>
      </c>
      <c r="E40" s="4" t="s">
        <v>19</v>
      </c>
      <c r="F40" s="4">
        <v>34</v>
      </c>
      <c r="G40" s="5">
        <v>44721</v>
      </c>
      <c r="H40" s="6">
        <v>49630</v>
      </c>
      <c r="I40" s="4" t="s">
        <v>24</v>
      </c>
    </row>
    <row r="41" spans="3:9" x14ac:dyDescent="0.3">
      <c r="C41" s="4" t="s">
        <v>107</v>
      </c>
      <c r="D41" s="4" t="s">
        <v>8</v>
      </c>
      <c r="E41" s="4" t="s">
        <v>9</v>
      </c>
      <c r="F41" s="4">
        <v>28</v>
      </c>
      <c r="G41" s="5">
        <v>44630</v>
      </c>
      <c r="H41" s="6">
        <v>99970</v>
      </c>
      <c r="I41" s="4" t="s">
        <v>16</v>
      </c>
    </row>
    <row r="42" spans="3:9" x14ac:dyDescent="0.3">
      <c r="C42" s="4" t="s">
        <v>71</v>
      </c>
      <c r="D42" s="4" t="s">
        <v>8</v>
      </c>
      <c r="E42" s="4" t="s">
        <v>12</v>
      </c>
      <c r="F42" s="4">
        <v>33</v>
      </c>
      <c r="G42" s="5">
        <v>44190</v>
      </c>
      <c r="H42" s="6">
        <v>96140</v>
      </c>
      <c r="I42" s="4" t="s">
        <v>16</v>
      </c>
    </row>
    <row r="43" spans="3:9" x14ac:dyDescent="0.3">
      <c r="C43" s="4" t="s">
        <v>50</v>
      </c>
      <c r="D43" s="4" t="s">
        <v>15</v>
      </c>
      <c r="E43" s="4" t="s">
        <v>9</v>
      </c>
      <c r="F43" s="4">
        <v>31</v>
      </c>
      <c r="G43" s="5">
        <v>44724</v>
      </c>
      <c r="H43" s="6">
        <v>103550</v>
      </c>
      <c r="I43" s="4" t="s">
        <v>16</v>
      </c>
    </row>
    <row r="44" spans="3:9" x14ac:dyDescent="0.3">
      <c r="C44" s="4" t="s">
        <v>14</v>
      </c>
      <c r="D44" s="4" t="s">
        <v>15</v>
      </c>
      <c r="E44" s="4" t="s">
        <v>12</v>
      </c>
      <c r="F44" s="4">
        <v>31</v>
      </c>
      <c r="G44" s="5">
        <v>44511</v>
      </c>
      <c r="H44" s="6">
        <v>48950</v>
      </c>
      <c r="I44" s="4" t="s">
        <v>16</v>
      </c>
    </row>
    <row r="45" spans="3:9" x14ac:dyDescent="0.3">
      <c r="C45" s="4" t="s">
        <v>63</v>
      </c>
      <c r="D45" s="4" t="s">
        <v>15</v>
      </c>
      <c r="E45" s="4" t="s">
        <v>21</v>
      </c>
      <c r="F45" s="4">
        <v>24</v>
      </c>
      <c r="G45" s="5">
        <v>44436</v>
      </c>
      <c r="H45" s="6">
        <v>52610</v>
      </c>
      <c r="I45" s="4" t="s">
        <v>24</v>
      </c>
    </row>
    <row r="46" spans="3:9" x14ac:dyDescent="0.3">
      <c r="C46" s="4" t="s">
        <v>72</v>
      </c>
      <c r="D46" s="4" t="s">
        <v>8</v>
      </c>
      <c r="E46" s="4" t="s">
        <v>9</v>
      </c>
      <c r="F46" s="4">
        <v>36</v>
      </c>
      <c r="G46" s="5">
        <v>44529</v>
      </c>
      <c r="H46" s="6">
        <v>78390</v>
      </c>
      <c r="I46" s="4" t="s">
        <v>16</v>
      </c>
    </row>
    <row r="47" spans="3:9" x14ac:dyDescent="0.3">
      <c r="C47" s="4" t="s">
        <v>88</v>
      </c>
      <c r="D47" s="4" t="s">
        <v>8</v>
      </c>
      <c r="E47" s="4" t="s">
        <v>21</v>
      </c>
      <c r="F47" s="4">
        <v>33</v>
      </c>
      <c r="G47" s="5">
        <v>44809</v>
      </c>
      <c r="H47" s="6">
        <v>86570</v>
      </c>
      <c r="I47" s="4" t="s">
        <v>16</v>
      </c>
    </row>
    <row r="48" spans="3:9" x14ac:dyDescent="0.3">
      <c r="C48" s="4" t="s">
        <v>92</v>
      </c>
      <c r="D48" s="4" t="s">
        <v>8</v>
      </c>
      <c r="E48" s="4" t="s">
        <v>12</v>
      </c>
      <c r="F48" s="4">
        <v>27</v>
      </c>
      <c r="G48" s="5">
        <v>44686</v>
      </c>
      <c r="H48" s="6">
        <v>83750</v>
      </c>
      <c r="I48" s="4" t="s">
        <v>16</v>
      </c>
    </row>
    <row r="49" spans="3:9" x14ac:dyDescent="0.3">
      <c r="C49" s="4" t="s">
        <v>102</v>
      </c>
      <c r="D49" s="4" t="s">
        <v>8</v>
      </c>
      <c r="E49" s="4" t="s">
        <v>21</v>
      </c>
      <c r="F49" s="4">
        <v>34</v>
      </c>
      <c r="G49" s="5">
        <v>44445</v>
      </c>
      <c r="H49" s="6">
        <v>92450</v>
      </c>
      <c r="I49" s="4" t="s">
        <v>16</v>
      </c>
    </row>
    <row r="50" spans="3:9" x14ac:dyDescent="0.3">
      <c r="C50" s="4" t="s">
        <v>64</v>
      </c>
      <c r="D50" s="4" t="s">
        <v>15</v>
      </c>
      <c r="E50" s="4" t="s">
        <v>12</v>
      </c>
      <c r="F50" s="4">
        <v>20</v>
      </c>
      <c r="G50" s="5">
        <v>44183</v>
      </c>
      <c r="H50" s="6">
        <v>112650</v>
      </c>
      <c r="I50" s="4" t="s">
        <v>16</v>
      </c>
    </row>
    <row r="51" spans="3:9" x14ac:dyDescent="0.3">
      <c r="C51" s="4" t="s">
        <v>104</v>
      </c>
      <c r="D51" s="4" t="s">
        <v>15</v>
      </c>
      <c r="E51" s="4" t="s">
        <v>9</v>
      </c>
      <c r="F51" s="4">
        <v>20</v>
      </c>
      <c r="G51" s="5">
        <v>44744</v>
      </c>
      <c r="H51" s="6">
        <v>79570</v>
      </c>
      <c r="I51" s="4" t="s">
        <v>16</v>
      </c>
    </row>
    <row r="52" spans="3:9" x14ac:dyDescent="0.3">
      <c r="C52" s="4" t="s">
        <v>91</v>
      </c>
      <c r="D52" s="4" t="s">
        <v>8</v>
      </c>
      <c r="E52" s="4" t="s">
        <v>19</v>
      </c>
      <c r="F52" s="4">
        <v>20</v>
      </c>
      <c r="G52" s="5">
        <v>44537</v>
      </c>
      <c r="H52" s="6">
        <v>68900</v>
      </c>
      <c r="I52" s="4" t="s">
        <v>24</v>
      </c>
    </row>
    <row r="53" spans="3:9" x14ac:dyDescent="0.3">
      <c r="C53" s="4" t="s">
        <v>39</v>
      </c>
      <c r="D53" s="4" t="s">
        <v>8</v>
      </c>
      <c r="E53" s="4" t="s">
        <v>12</v>
      </c>
      <c r="F53" s="4">
        <v>25</v>
      </c>
      <c r="G53" s="5">
        <v>44694</v>
      </c>
      <c r="H53" s="6">
        <v>80700</v>
      </c>
      <c r="I53" s="4" t="s">
        <v>13</v>
      </c>
    </row>
    <row r="54" spans="3:9" x14ac:dyDescent="0.3">
      <c r="C54" s="4" t="s">
        <v>100</v>
      </c>
      <c r="D54" s="4" t="s">
        <v>15</v>
      </c>
      <c r="E54" s="4" t="s">
        <v>9</v>
      </c>
      <c r="F54" s="4">
        <v>19</v>
      </c>
      <c r="G54" s="5">
        <v>44277</v>
      </c>
      <c r="H54" s="6">
        <v>58960</v>
      </c>
      <c r="I54" s="4" t="s">
        <v>16</v>
      </c>
    </row>
    <row r="55" spans="3:9" x14ac:dyDescent="0.3">
      <c r="C55" s="4" t="s">
        <v>106</v>
      </c>
      <c r="D55" s="4" t="s">
        <v>15</v>
      </c>
      <c r="E55" s="4" t="s">
        <v>12</v>
      </c>
      <c r="F55" s="4">
        <v>36</v>
      </c>
      <c r="G55" s="5">
        <v>44019</v>
      </c>
      <c r="H55" s="6">
        <v>118840</v>
      </c>
      <c r="I55" s="4" t="s">
        <v>16</v>
      </c>
    </row>
    <row r="56" spans="3:9" x14ac:dyDescent="0.3">
      <c r="C56" s="4" t="s">
        <v>29</v>
      </c>
      <c r="D56" s="4" t="s">
        <v>15</v>
      </c>
      <c r="E56" s="4" t="s">
        <v>21</v>
      </c>
      <c r="F56" s="4">
        <v>28</v>
      </c>
      <c r="G56" s="5">
        <v>44041</v>
      </c>
      <c r="H56" s="6">
        <v>48170</v>
      </c>
      <c r="I56" s="4" t="s">
        <v>13</v>
      </c>
    </row>
    <row r="57" spans="3:9" x14ac:dyDescent="0.3">
      <c r="C57" s="4" t="s">
        <v>108</v>
      </c>
      <c r="D57" s="4" t="s">
        <v>8</v>
      </c>
      <c r="E57" s="4" t="s">
        <v>56</v>
      </c>
      <c r="F57" s="4">
        <v>32</v>
      </c>
      <c r="G57" s="5">
        <v>44400</v>
      </c>
      <c r="H57" s="6">
        <v>45510</v>
      </c>
      <c r="I57" s="4" t="s">
        <v>16</v>
      </c>
    </row>
    <row r="58" spans="3:9" x14ac:dyDescent="0.3">
      <c r="C58" s="4" t="s">
        <v>64</v>
      </c>
      <c r="D58" s="4" t="s">
        <v>15</v>
      </c>
      <c r="E58" s="4" t="s">
        <v>9</v>
      </c>
      <c r="F58" s="4">
        <v>34</v>
      </c>
      <c r="G58" s="5">
        <v>44703</v>
      </c>
      <c r="H58" s="6">
        <v>112650</v>
      </c>
      <c r="I58" s="4" t="s">
        <v>16</v>
      </c>
    </row>
    <row r="59" spans="3:9" x14ac:dyDescent="0.3">
      <c r="C59" s="4" t="s">
        <v>83</v>
      </c>
      <c r="D59" s="4" t="s">
        <v>8</v>
      </c>
      <c r="E59" s="4" t="s">
        <v>9</v>
      </c>
      <c r="F59" s="4">
        <v>36</v>
      </c>
      <c r="G59" s="5">
        <v>44085</v>
      </c>
      <c r="H59" s="6">
        <v>114890</v>
      </c>
      <c r="I59" s="4" t="s">
        <v>16</v>
      </c>
    </row>
    <row r="60" spans="3:9" x14ac:dyDescent="0.3">
      <c r="C60" s="4" t="s">
        <v>67</v>
      </c>
      <c r="D60" s="4" t="s">
        <v>15</v>
      </c>
      <c r="E60" s="4" t="s">
        <v>12</v>
      </c>
      <c r="F60" s="4">
        <v>30</v>
      </c>
      <c r="G60" s="5">
        <v>44850</v>
      </c>
      <c r="H60" s="6">
        <v>69710</v>
      </c>
      <c r="I60" s="4" t="s">
        <v>16</v>
      </c>
    </row>
    <row r="61" spans="3:9" x14ac:dyDescent="0.3">
      <c r="C61" s="4" t="s">
        <v>94</v>
      </c>
      <c r="D61" s="4" t="s">
        <v>15</v>
      </c>
      <c r="E61" s="4" t="s">
        <v>21</v>
      </c>
      <c r="F61" s="4">
        <v>36</v>
      </c>
      <c r="G61" s="5">
        <v>44333</v>
      </c>
      <c r="H61" s="6">
        <v>71380</v>
      </c>
      <c r="I61" s="4" t="s">
        <v>16</v>
      </c>
    </row>
    <row r="62" spans="3:9" x14ac:dyDescent="0.3">
      <c r="C62" s="4" t="s">
        <v>33</v>
      </c>
      <c r="D62" s="4" t="s">
        <v>8</v>
      </c>
      <c r="E62" s="4" t="s">
        <v>19</v>
      </c>
      <c r="F62" s="4">
        <v>38</v>
      </c>
      <c r="G62" s="5">
        <v>44377</v>
      </c>
      <c r="H62" s="6">
        <v>109160</v>
      </c>
      <c r="I62" s="4" t="s">
        <v>10</v>
      </c>
    </row>
    <row r="63" spans="3:9" x14ac:dyDescent="0.3">
      <c r="C63" s="4" t="s">
        <v>98</v>
      </c>
      <c r="D63" s="4" t="s">
        <v>15</v>
      </c>
      <c r="E63" s="4" t="s">
        <v>9</v>
      </c>
      <c r="F63" s="4">
        <v>27</v>
      </c>
      <c r="G63" s="5">
        <v>44609</v>
      </c>
      <c r="H63" s="6">
        <v>113280</v>
      </c>
      <c r="I63" s="4" t="s">
        <v>42</v>
      </c>
    </row>
    <row r="64" spans="3:9" x14ac:dyDescent="0.3">
      <c r="C64" s="4" t="s">
        <v>25</v>
      </c>
      <c r="D64" s="4" t="s">
        <v>15</v>
      </c>
      <c r="E64" s="4" t="s">
        <v>12</v>
      </c>
      <c r="F64" s="4">
        <v>30</v>
      </c>
      <c r="G64" s="5">
        <v>44273</v>
      </c>
      <c r="H64" s="6">
        <v>69120</v>
      </c>
      <c r="I64" s="4" t="s">
        <v>16</v>
      </c>
    </row>
    <row r="65" spans="3:9" x14ac:dyDescent="0.3">
      <c r="C65" s="4" t="s">
        <v>55</v>
      </c>
      <c r="D65" s="4" t="s">
        <v>8</v>
      </c>
      <c r="E65" s="4" t="s">
        <v>56</v>
      </c>
      <c r="F65" s="4">
        <v>37</v>
      </c>
      <c r="G65" s="5">
        <v>44451</v>
      </c>
      <c r="H65" s="6">
        <v>118100</v>
      </c>
      <c r="I65" s="4" t="s">
        <v>16</v>
      </c>
    </row>
    <row r="66" spans="3:9" x14ac:dyDescent="0.3">
      <c r="C66" s="4" t="s">
        <v>62</v>
      </c>
      <c r="D66" s="4" t="s">
        <v>8</v>
      </c>
      <c r="E66" s="4" t="s">
        <v>9</v>
      </c>
      <c r="F66" s="4">
        <v>22</v>
      </c>
      <c r="G66" s="5">
        <v>44450</v>
      </c>
      <c r="H66" s="6">
        <v>76900</v>
      </c>
      <c r="I66" s="4" t="s">
        <v>13</v>
      </c>
    </row>
    <row r="67" spans="3:9" x14ac:dyDescent="0.3">
      <c r="C67" s="4" t="s">
        <v>17</v>
      </c>
      <c r="D67" s="4" t="s">
        <v>8</v>
      </c>
      <c r="E67" s="4" t="s">
        <v>12</v>
      </c>
      <c r="F67" s="4">
        <v>43</v>
      </c>
      <c r="G67" s="5">
        <v>45045</v>
      </c>
      <c r="H67" s="6">
        <v>114870</v>
      </c>
      <c r="I67" s="4" t="s">
        <v>16</v>
      </c>
    </row>
    <row r="68" spans="3:9" x14ac:dyDescent="0.3">
      <c r="C68" s="4" t="s">
        <v>52</v>
      </c>
      <c r="E68" s="4" t="s">
        <v>12</v>
      </c>
      <c r="F68" s="4">
        <v>32</v>
      </c>
      <c r="G68" s="5">
        <v>44774</v>
      </c>
      <c r="H68" s="6">
        <v>91310</v>
      </c>
      <c r="I68" s="4" t="s">
        <v>16</v>
      </c>
    </row>
    <row r="69" spans="3:9" x14ac:dyDescent="0.3">
      <c r="C69" s="4" t="s">
        <v>43</v>
      </c>
      <c r="D69" s="4" t="s">
        <v>8</v>
      </c>
      <c r="E69" s="4" t="s">
        <v>9</v>
      </c>
      <c r="F69" s="4">
        <v>28</v>
      </c>
      <c r="G69" s="5">
        <v>44486</v>
      </c>
      <c r="H69" s="6">
        <v>104770</v>
      </c>
      <c r="I69" s="4" t="s">
        <v>16</v>
      </c>
    </row>
    <row r="70" spans="3:9" x14ac:dyDescent="0.3">
      <c r="C70" s="4" t="s">
        <v>89</v>
      </c>
      <c r="D70" s="4" t="s">
        <v>15</v>
      </c>
      <c r="E70" s="4" t="s">
        <v>19</v>
      </c>
      <c r="F70" s="4">
        <v>27</v>
      </c>
      <c r="G70" s="5">
        <v>44134</v>
      </c>
      <c r="H70" s="6">
        <v>54970</v>
      </c>
      <c r="I70" s="4" t="s">
        <v>16</v>
      </c>
    </row>
    <row r="71" spans="3:9" x14ac:dyDescent="0.3">
      <c r="C71" s="4" t="s">
        <v>11</v>
      </c>
      <c r="E71" s="4" t="s">
        <v>12</v>
      </c>
      <c r="F71" s="4">
        <v>26</v>
      </c>
      <c r="G71" s="5">
        <v>44271</v>
      </c>
      <c r="H71" s="6">
        <v>90700</v>
      </c>
      <c r="I71" s="4" t="s">
        <v>13</v>
      </c>
    </row>
    <row r="72" spans="3:9" x14ac:dyDescent="0.3">
      <c r="C72" s="4" t="s">
        <v>109</v>
      </c>
      <c r="D72" s="4" t="s">
        <v>8</v>
      </c>
      <c r="E72" s="4" t="s">
        <v>19</v>
      </c>
      <c r="F72" s="4">
        <v>38</v>
      </c>
      <c r="G72" s="5">
        <v>44329</v>
      </c>
      <c r="H72" s="6">
        <v>56870</v>
      </c>
      <c r="I72" s="4" t="s">
        <v>13</v>
      </c>
    </row>
    <row r="73" spans="3:9" x14ac:dyDescent="0.3">
      <c r="C73" s="4" t="s">
        <v>77</v>
      </c>
      <c r="D73" s="4" t="s">
        <v>8</v>
      </c>
      <c r="E73" s="4" t="s">
        <v>19</v>
      </c>
      <c r="F73" s="4">
        <v>25</v>
      </c>
      <c r="G73" s="5">
        <v>44205</v>
      </c>
      <c r="H73" s="6">
        <v>92700</v>
      </c>
      <c r="I73" s="4" t="s">
        <v>16</v>
      </c>
    </row>
    <row r="74" spans="3:9" x14ac:dyDescent="0.3">
      <c r="C74" s="4" t="s">
        <v>32</v>
      </c>
      <c r="D74" s="4" t="s">
        <v>8</v>
      </c>
      <c r="E74" s="4" t="s">
        <v>21</v>
      </c>
      <c r="F74" s="4">
        <v>21</v>
      </c>
      <c r="G74" s="5">
        <v>44317</v>
      </c>
      <c r="H74" s="6">
        <v>65920</v>
      </c>
      <c r="I74" s="4" t="s">
        <v>16</v>
      </c>
    </row>
    <row r="75" spans="3:9" x14ac:dyDescent="0.3">
      <c r="C75" s="4" t="s">
        <v>59</v>
      </c>
      <c r="D75" s="4" t="s">
        <v>15</v>
      </c>
      <c r="E75" s="4" t="s">
        <v>9</v>
      </c>
      <c r="F75" s="4">
        <v>26</v>
      </c>
      <c r="G75" s="5">
        <v>44225</v>
      </c>
      <c r="H75" s="6">
        <v>47360</v>
      </c>
      <c r="I75" s="4" t="s">
        <v>16</v>
      </c>
    </row>
    <row r="76" spans="3:9" x14ac:dyDescent="0.3">
      <c r="C76" s="4" t="s">
        <v>37</v>
      </c>
      <c r="D76" s="4" t="s">
        <v>15</v>
      </c>
      <c r="E76" s="4" t="s">
        <v>9</v>
      </c>
      <c r="F76" s="4">
        <v>30</v>
      </c>
      <c r="G76" s="5">
        <v>44666</v>
      </c>
      <c r="H76" s="6">
        <v>60570</v>
      </c>
      <c r="I76" s="4" t="s">
        <v>16</v>
      </c>
    </row>
    <row r="77" spans="3:9" x14ac:dyDescent="0.3">
      <c r="C77" s="4" t="s">
        <v>96</v>
      </c>
      <c r="D77" s="4" t="s">
        <v>8</v>
      </c>
      <c r="E77" s="4" t="s">
        <v>9</v>
      </c>
      <c r="F77" s="4">
        <v>28</v>
      </c>
      <c r="G77" s="5">
        <v>44649</v>
      </c>
      <c r="H77" s="6">
        <v>104120</v>
      </c>
      <c r="I77" s="4" t="s">
        <v>16</v>
      </c>
    </row>
    <row r="78" spans="3:9" x14ac:dyDescent="0.3">
      <c r="C78" s="4" t="s">
        <v>23</v>
      </c>
      <c r="D78" s="4" t="s">
        <v>15</v>
      </c>
      <c r="E78" s="4" t="s">
        <v>12</v>
      </c>
      <c r="F78" s="4">
        <v>37</v>
      </c>
      <c r="G78" s="5">
        <v>44338</v>
      </c>
      <c r="H78" s="6">
        <v>88050</v>
      </c>
      <c r="I78" s="4" t="s">
        <v>24</v>
      </c>
    </row>
    <row r="79" spans="3:9" x14ac:dyDescent="0.3">
      <c r="C79" s="4" t="s">
        <v>103</v>
      </c>
      <c r="D79" s="4" t="s">
        <v>15</v>
      </c>
      <c r="E79" s="4" t="s">
        <v>12</v>
      </c>
      <c r="F79" s="4">
        <v>24</v>
      </c>
      <c r="G79" s="5">
        <v>44686</v>
      </c>
      <c r="H79" s="6">
        <v>100420</v>
      </c>
      <c r="I79" s="4" t="s">
        <v>16</v>
      </c>
    </row>
    <row r="80" spans="3:9" x14ac:dyDescent="0.3">
      <c r="C80" s="4" t="s">
        <v>54</v>
      </c>
      <c r="D80" s="4" t="s">
        <v>8</v>
      </c>
      <c r="E80" s="4" t="s">
        <v>9</v>
      </c>
      <c r="F80" s="4">
        <v>30</v>
      </c>
      <c r="G80" s="5">
        <v>44850</v>
      </c>
      <c r="H80" s="6">
        <v>114180</v>
      </c>
      <c r="I80" s="4" t="s">
        <v>16</v>
      </c>
    </row>
    <row r="81" spans="3:9" x14ac:dyDescent="0.3">
      <c r="C81" s="4" t="s">
        <v>86</v>
      </c>
      <c r="D81" s="4" t="s">
        <v>8</v>
      </c>
      <c r="E81" s="4" t="s">
        <v>12</v>
      </c>
      <c r="F81" s="4">
        <v>21</v>
      </c>
      <c r="G81" s="5">
        <v>44678</v>
      </c>
      <c r="H81" s="6">
        <v>33920</v>
      </c>
      <c r="I81" s="4" t="s">
        <v>16</v>
      </c>
    </row>
    <row r="82" spans="3:9" x14ac:dyDescent="0.3">
      <c r="C82" s="4" t="s">
        <v>69</v>
      </c>
      <c r="D82" s="4" t="s">
        <v>15</v>
      </c>
      <c r="E82" s="4" t="s">
        <v>9</v>
      </c>
      <c r="F82" s="4">
        <v>23</v>
      </c>
      <c r="G82" s="5">
        <v>44440</v>
      </c>
      <c r="H82" s="6">
        <v>106460</v>
      </c>
      <c r="I82" s="4" t="s">
        <v>16</v>
      </c>
    </row>
    <row r="83" spans="3:9" x14ac:dyDescent="0.3">
      <c r="C83" s="4" t="s">
        <v>57</v>
      </c>
      <c r="D83" s="4" t="s">
        <v>15</v>
      </c>
      <c r="E83" s="4" t="s">
        <v>9</v>
      </c>
      <c r="F83" s="4">
        <v>35</v>
      </c>
      <c r="G83" s="5">
        <v>44727</v>
      </c>
      <c r="H83" s="6">
        <v>40400</v>
      </c>
      <c r="I83" s="4" t="s">
        <v>16</v>
      </c>
    </row>
    <row r="84" spans="3:9" x14ac:dyDescent="0.3">
      <c r="C84" s="4" t="s">
        <v>68</v>
      </c>
      <c r="D84" s="4" t="s">
        <v>15</v>
      </c>
      <c r="E84" s="4" t="s">
        <v>21</v>
      </c>
      <c r="F84" s="4">
        <v>27</v>
      </c>
      <c r="G84" s="5">
        <v>44236</v>
      </c>
      <c r="H84" s="6">
        <v>91650</v>
      </c>
      <c r="I84" s="4" t="s">
        <v>13</v>
      </c>
    </row>
    <row r="85" spans="3:9" x14ac:dyDescent="0.3">
      <c r="C85" s="4" t="s">
        <v>99</v>
      </c>
      <c r="D85" s="4" t="s">
        <v>15</v>
      </c>
      <c r="E85" s="4" t="s">
        <v>19</v>
      </c>
      <c r="F85" s="4">
        <v>43</v>
      </c>
      <c r="G85" s="5">
        <v>44620</v>
      </c>
      <c r="H85" s="6">
        <v>36040</v>
      </c>
      <c r="I85" s="4" t="s">
        <v>16</v>
      </c>
    </row>
    <row r="86" spans="3:9" x14ac:dyDescent="0.3">
      <c r="C86" s="4" t="s">
        <v>101</v>
      </c>
      <c r="D86" s="4" t="s">
        <v>8</v>
      </c>
      <c r="E86" s="4" t="s">
        <v>12</v>
      </c>
      <c r="F86" s="4">
        <v>40</v>
      </c>
      <c r="G86" s="5">
        <v>44381</v>
      </c>
      <c r="H86" s="6">
        <v>104410</v>
      </c>
      <c r="I86" s="4" t="s">
        <v>16</v>
      </c>
    </row>
    <row r="87" spans="3:9" x14ac:dyDescent="0.3">
      <c r="C87" s="4" t="s">
        <v>85</v>
      </c>
      <c r="D87" s="4" t="s">
        <v>15</v>
      </c>
      <c r="E87" s="4" t="s">
        <v>21</v>
      </c>
      <c r="F87" s="4">
        <v>30</v>
      </c>
      <c r="G87" s="5">
        <v>44606</v>
      </c>
      <c r="H87" s="6">
        <v>96800</v>
      </c>
      <c r="I87" s="4" t="s">
        <v>16</v>
      </c>
    </row>
    <row r="88" spans="3:9" x14ac:dyDescent="0.3">
      <c r="C88" s="4" t="s">
        <v>28</v>
      </c>
      <c r="D88" s="4" t="s">
        <v>8</v>
      </c>
      <c r="E88" s="4" t="s">
        <v>21</v>
      </c>
      <c r="F88" s="4">
        <v>34</v>
      </c>
      <c r="G88" s="5">
        <v>44459</v>
      </c>
      <c r="H88" s="6">
        <v>85000</v>
      </c>
      <c r="I88" s="4" t="s">
        <v>16</v>
      </c>
    </row>
    <row r="89" spans="3:9" x14ac:dyDescent="0.3">
      <c r="C89" s="4" t="s">
        <v>80</v>
      </c>
      <c r="D89" s="4" t="s">
        <v>15</v>
      </c>
      <c r="E89" s="4" t="s">
        <v>19</v>
      </c>
      <c r="F89" s="4">
        <v>28</v>
      </c>
      <c r="G89" s="5">
        <v>44820</v>
      </c>
      <c r="H89" s="6">
        <v>43510</v>
      </c>
      <c r="I89" s="4" t="s">
        <v>42</v>
      </c>
    </row>
    <row r="90" spans="3:9" x14ac:dyDescent="0.3">
      <c r="C90" s="4" t="s">
        <v>79</v>
      </c>
      <c r="D90" s="4" t="s">
        <v>15</v>
      </c>
      <c r="E90" s="4" t="s">
        <v>21</v>
      </c>
      <c r="F90" s="4">
        <v>33</v>
      </c>
      <c r="G90" s="5">
        <v>44243</v>
      </c>
      <c r="H90" s="6">
        <v>59430</v>
      </c>
      <c r="I90" s="4" t="s">
        <v>16</v>
      </c>
    </row>
    <row r="91" spans="3:9" x14ac:dyDescent="0.3">
      <c r="C91" s="4" t="s">
        <v>93</v>
      </c>
      <c r="D91" s="4" t="s">
        <v>8</v>
      </c>
      <c r="E91" s="4" t="s">
        <v>21</v>
      </c>
      <c r="F91" s="4">
        <v>33</v>
      </c>
      <c r="G91" s="5">
        <v>44067</v>
      </c>
      <c r="H91" s="6">
        <v>65360</v>
      </c>
      <c r="I91" s="4" t="s">
        <v>16</v>
      </c>
    </row>
    <row r="92" spans="3:9" x14ac:dyDescent="0.3">
      <c r="C92" s="4" t="s">
        <v>66</v>
      </c>
      <c r="D92" s="4" t="s">
        <v>8</v>
      </c>
      <c r="E92" s="4" t="s">
        <v>9</v>
      </c>
      <c r="F92" s="4">
        <v>32</v>
      </c>
      <c r="G92" s="5">
        <v>44611</v>
      </c>
      <c r="H92" s="6">
        <v>41570</v>
      </c>
      <c r="I92" s="4" t="s">
        <v>16</v>
      </c>
    </row>
    <row r="93" spans="3:9" x14ac:dyDescent="0.3">
      <c r="C93" s="4" t="s">
        <v>95</v>
      </c>
      <c r="D93" s="4" t="s">
        <v>8</v>
      </c>
      <c r="E93" s="4" t="s">
        <v>12</v>
      </c>
      <c r="F93" s="4">
        <v>33</v>
      </c>
      <c r="G93" s="5">
        <v>44312</v>
      </c>
      <c r="H93" s="6">
        <v>75280</v>
      </c>
      <c r="I93" s="4" t="s">
        <v>16</v>
      </c>
    </row>
    <row r="94" spans="3:9" x14ac:dyDescent="0.3">
      <c r="C94" s="4" t="s">
        <v>18</v>
      </c>
      <c r="D94" s="4" t="s">
        <v>15</v>
      </c>
      <c r="E94" s="4" t="s">
        <v>19</v>
      </c>
      <c r="F94" s="4">
        <v>33</v>
      </c>
      <c r="G94" s="5">
        <v>44385</v>
      </c>
      <c r="H94" s="6">
        <v>74550</v>
      </c>
      <c r="I94" s="4" t="s">
        <v>16</v>
      </c>
    </row>
    <row r="95" spans="3:9" x14ac:dyDescent="0.3">
      <c r="C95" s="4" t="s">
        <v>45</v>
      </c>
      <c r="D95" s="4" t="s">
        <v>15</v>
      </c>
      <c r="E95" s="4" t="s">
        <v>9</v>
      </c>
      <c r="F95" s="4">
        <v>30</v>
      </c>
      <c r="G95" s="5">
        <v>44701</v>
      </c>
      <c r="H95" s="6">
        <v>67950</v>
      </c>
      <c r="I95" s="4" t="s">
        <v>16</v>
      </c>
    </row>
    <row r="96" spans="3:9" x14ac:dyDescent="0.3">
      <c r="C96" s="4" t="s">
        <v>90</v>
      </c>
      <c r="D96" s="4" t="s">
        <v>15</v>
      </c>
      <c r="E96" s="4" t="s">
        <v>21</v>
      </c>
      <c r="F96" s="4">
        <v>42</v>
      </c>
      <c r="G96" s="5">
        <v>44731</v>
      </c>
      <c r="H96" s="6">
        <v>70270</v>
      </c>
      <c r="I96" s="4" t="s">
        <v>24</v>
      </c>
    </row>
    <row r="97" spans="3:9" x14ac:dyDescent="0.3">
      <c r="C97" s="4" t="s">
        <v>46</v>
      </c>
      <c r="D97" s="4" t="s">
        <v>15</v>
      </c>
      <c r="E97" s="4" t="s">
        <v>9</v>
      </c>
      <c r="F97" s="4">
        <v>26</v>
      </c>
      <c r="G97" s="5">
        <v>44411</v>
      </c>
      <c r="H97" s="6">
        <v>53540</v>
      </c>
      <c r="I97" s="4" t="s">
        <v>16</v>
      </c>
    </row>
    <row r="98" spans="3:9" x14ac:dyDescent="0.3">
      <c r="C98" s="4" t="s">
        <v>58</v>
      </c>
      <c r="D98" s="4" t="s">
        <v>15</v>
      </c>
      <c r="E98" s="4" t="s">
        <v>19</v>
      </c>
      <c r="F98" s="4">
        <v>22</v>
      </c>
      <c r="G98" s="5">
        <v>44446</v>
      </c>
      <c r="H98" s="6">
        <v>112780</v>
      </c>
      <c r="I98" s="4" t="s">
        <v>13</v>
      </c>
    </row>
    <row r="99" spans="3:9" x14ac:dyDescent="0.3">
      <c r="C99" s="4" t="s">
        <v>70</v>
      </c>
      <c r="D99" s="4" t="s">
        <v>15</v>
      </c>
      <c r="E99" s="4" t="s">
        <v>9</v>
      </c>
      <c r="F99" s="4">
        <v>46</v>
      </c>
      <c r="G99" s="5">
        <v>44758</v>
      </c>
      <c r="H99" s="6">
        <v>70610</v>
      </c>
      <c r="I99" s="4" t="s">
        <v>16</v>
      </c>
    </row>
    <row r="100" spans="3:9" x14ac:dyDescent="0.3">
      <c r="C100" s="4" t="s">
        <v>75</v>
      </c>
      <c r="D100" s="4" t="s">
        <v>8</v>
      </c>
      <c r="E100" s="4" t="s">
        <v>19</v>
      </c>
      <c r="F100" s="4">
        <v>28</v>
      </c>
      <c r="G100" s="5">
        <v>44357</v>
      </c>
      <c r="H100" s="6">
        <v>53240</v>
      </c>
      <c r="I100" s="4" t="s">
        <v>16</v>
      </c>
    </row>
    <row r="101" spans="3:9" x14ac:dyDescent="0.3">
      <c r="C101" s="4" t="s">
        <v>49</v>
      </c>
      <c r="E101" s="4" t="s">
        <v>21</v>
      </c>
      <c r="F101" s="4">
        <v>37</v>
      </c>
      <c r="G101" s="5">
        <v>44146</v>
      </c>
      <c r="H101" s="6">
        <v>115440</v>
      </c>
      <c r="I101" s="4" t="s">
        <v>24</v>
      </c>
    </row>
    <row r="102" spans="3:9" x14ac:dyDescent="0.3">
      <c r="C102" s="4" t="s">
        <v>65</v>
      </c>
      <c r="D102" s="4" t="s">
        <v>15</v>
      </c>
      <c r="E102" s="4" t="s">
        <v>19</v>
      </c>
      <c r="F102" s="4">
        <v>32</v>
      </c>
      <c r="G102" s="5">
        <v>44465</v>
      </c>
      <c r="H102" s="6">
        <v>53540</v>
      </c>
      <c r="I102" s="4" t="s">
        <v>16</v>
      </c>
    </row>
    <row r="103" spans="3:9" x14ac:dyDescent="0.3">
      <c r="C103" s="4" t="s">
        <v>81</v>
      </c>
      <c r="D103" s="4" t="s">
        <v>8</v>
      </c>
      <c r="E103" s="4" t="s">
        <v>9</v>
      </c>
      <c r="F103" s="4">
        <v>30</v>
      </c>
      <c r="G103" s="5">
        <v>44861</v>
      </c>
      <c r="H103" s="6">
        <v>112570</v>
      </c>
      <c r="I103" s="4" t="s">
        <v>16</v>
      </c>
    </row>
    <row r="104" spans="3:9" x14ac:dyDescent="0.3">
      <c r="C104" s="4" t="s">
        <v>51</v>
      </c>
      <c r="D104" s="4" t="s">
        <v>15</v>
      </c>
      <c r="E104" s="4" t="s">
        <v>9</v>
      </c>
      <c r="F104" s="4">
        <v>33</v>
      </c>
      <c r="G104" s="5">
        <v>44701</v>
      </c>
      <c r="H104" s="6">
        <v>48530</v>
      </c>
      <c r="I104" s="4" t="s">
        <v>13</v>
      </c>
    </row>
    <row r="105" spans="3:9" x14ac:dyDescent="0.3">
      <c r="C105" s="4" t="s">
        <v>61</v>
      </c>
      <c r="D105" s="4" t="s">
        <v>8</v>
      </c>
      <c r="E105" s="4" t="s">
        <v>12</v>
      </c>
      <c r="F105" s="4">
        <v>24</v>
      </c>
      <c r="G105" s="5">
        <v>44148</v>
      </c>
      <c r="H105" s="6">
        <v>62780</v>
      </c>
      <c r="I105" s="4" t="s">
        <v>16</v>
      </c>
    </row>
    <row r="106" spans="3:9" x14ac:dyDescent="0.3">
      <c r="C106" s="4" t="s">
        <v>203</v>
      </c>
      <c r="F106" s="4">
        <f>SUBTOTAL(101,nz_staff[Age])</f>
        <v>30.52</v>
      </c>
      <c r="H106" s="9">
        <f>SUBTOTAL(101,nz_staff[Salary])</f>
        <v>77472.100000000006</v>
      </c>
      <c r="I106" s="4">
        <f>SUBTOTAL(103,nz_staff[Rating])</f>
        <v>100</v>
      </c>
    </row>
  </sheetData>
  <conditionalFormatting sqref="C6:C105">
    <cfRule type="duplicateValues" dxfId="1" priority="1"/>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2EC4-DDE2-4CB7-AC70-5AB590F93835}">
  <dimension ref="B2:H115"/>
  <sheetViews>
    <sheetView showGridLines="0" workbookViewId="0">
      <selection activeCell="M14" sqref="M14"/>
    </sheetView>
  </sheetViews>
  <sheetFormatPr defaultRowHeight="14.4" x14ac:dyDescent="0.3"/>
  <cols>
    <col min="2" max="2" width="27.21875" bestFit="1" customWidth="1"/>
    <col min="3" max="3" width="11.5546875" bestFit="1" customWidth="1"/>
    <col min="4" max="4" width="8.6640625" bestFit="1" customWidth="1"/>
    <col min="5" max="5" width="16.33203125" customWidth="1"/>
    <col min="6" max="6" width="15.21875" bestFit="1" customWidth="1"/>
    <col min="7" max="7" width="15.5546875" bestFit="1" customWidth="1"/>
    <col min="8" max="8" width="12.109375" style="7" bestFit="1" customWidth="1"/>
  </cols>
  <sheetData>
    <row r="2" spans="2:8" x14ac:dyDescent="0.3">
      <c r="B2" s="4" t="s">
        <v>0</v>
      </c>
      <c r="C2" s="4" t="s">
        <v>1</v>
      </c>
      <c r="D2" s="4" t="s">
        <v>3</v>
      </c>
      <c r="E2" s="4" t="s">
        <v>6</v>
      </c>
      <c r="F2" s="4" t="s">
        <v>4</v>
      </c>
      <c r="G2" s="4" t="s">
        <v>2</v>
      </c>
      <c r="H2" s="6" t="s">
        <v>5</v>
      </c>
    </row>
    <row r="3" spans="2:8" x14ac:dyDescent="0.3">
      <c r="B3" s="4" t="s">
        <v>156</v>
      </c>
      <c r="C3" s="4" t="s">
        <v>15</v>
      </c>
      <c r="D3" s="4">
        <v>20</v>
      </c>
      <c r="E3" s="4" t="s">
        <v>16</v>
      </c>
      <c r="F3" s="5">
        <v>44122</v>
      </c>
      <c r="G3" s="4" t="s">
        <v>12</v>
      </c>
      <c r="H3" s="6">
        <v>112650</v>
      </c>
    </row>
    <row r="4" spans="2:8" x14ac:dyDescent="0.3">
      <c r="B4" s="4" t="s">
        <v>176</v>
      </c>
      <c r="C4" s="4" t="s">
        <v>8</v>
      </c>
      <c r="D4" s="4">
        <v>32</v>
      </c>
      <c r="E4" s="4" t="s">
        <v>13</v>
      </c>
      <c r="F4" s="5">
        <v>44293</v>
      </c>
      <c r="G4" s="4" t="s">
        <v>12</v>
      </c>
      <c r="H4" s="6">
        <v>43840</v>
      </c>
    </row>
    <row r="5" spans="2:8" x14ac:dyDescent="0.3">
      <c r="B5" s="4" t="s">
        <v>143</v>
      </c>
      <c r="C5" s="4" t="s">
        <v>15</v>
      </c>
      <c r="D5" s="4">
        <v>31</v>
      </c>
      <c r="E5" s="4" t="s">
        <v>16</v>
      </c>
      <c r="F5" s="5">
        <v>44663</v>
      </c>
      <c r="G5" s="4" t="s">
        <v>9</v>
      </c>
      <c r="H5" s="6">
        <v>103550</v>
      </c>
    </row>
    <row r="6" spans="2:8" x14ac:dyDescent="0.3">
      <c r="B6" s="4" t="s">
        <v>201</v>
      </c>
      <c r="C6" s="4" t="s">
        <v>8</v>
      </c>
      <c r="D6" s="4">
        <v>32</v>
      </c>
      <c r="E6" s="4" t="s">
        <v>16</v>
      </c>
      <c r="F6" s="5">
        <v>44339</v>
      </c>
      <c r="G6" s="4" t="s">
        <v>56</v>
      </c>
      <c r="H6" s="6">
        <v>45510</v>
      </c>
    </row>
    <row r="7" spans="2:8" x14ac:dyDescent="0.3">
      <c r="B7" s="4" t="s">
        <v>142</v>
      </c>
      <c r="C7" s="4"/>
      <c r="D7" s="4">
        <v>37</v>
      </c>
      <c r="E7" s="4" t="s">
        <v>24</v>
      </c>
      <c r="F7" s="5">
        <v>44085</v>
      </c>
      <c r="G7" s="4" t="s">
        <v>21</v>
      </c>
      <c r="H7" s="6">
        <v>115440</v>
      </c>
    </row>
    <row r="8" spans="2:8" x14ac:dyDescent="0.3">
      <c r="B8" s="4" t="s">
        <v>202</v>
      </c>
      <c r="C8" s="4" t="s">
        <v>8</v>
      </c>
      <c r="D8" s="4">
        <v>38</v>
      </c>
      <c r="E8" s="4" t="s">
        <v>13</v>
      </c>
      <c r="F8" s="5">
        <v>44268</v>
      </c>
      <c r="G8" s="4" t="s">
        <v>19</v>
      </c>
      <c r="H8" s="6">
        <v>56870</v>
      </c>
    </row>
    <row r="9" spans="2:8" x14ac:dyDescent="0.3">
      <c r="B9" s="4" t="s">
        <v>169</v>
      </c>
      <c r="C9" s="4" t="s">
        <v>8</v>
      </c>
      <c r="D9" s="4">
        <v>25</v>
      </c>
      <c r="E9" s="4" t="s">
        <v>16</v>
      </c>
      <c r="F9" s="5">
        <v>44144</v>
      </c>
      <c r="G9" s="4" t="s">
        <v>19</v>
      </c>
      <c r="H9" s="6">
        <v>92700</v>
      </c>
    </row>
    <row r="10" spans="2:8" x14ac:dyDescent="0.3">
      <c r="B10" s="4" t="s">
        <v>145</v>
      </c>
      <c r="C10" s="4"/>
      <c r="D10" s="4">
        <v>32</v>
      </c>
      <c r="E10" s="4" t="s">
        <v>16</v>
      </c>
      <c r="F10" s="5">
        <v>44713</v>
      </c>
      <c r="G10" s="4" t="s">
        <v>12</v>
      </c>
      <c r="H10" s="6">
        <v>91310</v>
      </c>
    </row>
    <row r="11" spans="2:8" x14ac:dyDescent="0.3">
      <c r="B11" s="4" t="s">
        <v>115</v>
      </c>
      <c r="C11" s="4" t="s">
        <v>15</v>
      </c>
      <c r="D11" s="4">
        <v>33</v>
      </c>
      <c r="E11" s="4" t="s">
        <v>16</v>
      </c>
      <c r="F11" s="5">
        <v>44324</v>
      </c>
      <c r="G11" s="4" t="s">
        <v>19</v>
      </c>
      <c r="H11" s="6">
        <v>74550</v>
      </c>
    </row>
    <row r="12" spans="2:8" x14ac:dyDescent="0.3">
      <c r="B12" s="4" t="s">
        <v>128</v>
      </c>
      <c r="C12" s="4" t="s">
        <v>15</v>
      </c>
      <c r="D12" s="4">
        <v>25</v>
      </c>
      <c r="E12" s="4" t="s">
        <v>13</v>
      </c>
      <c r="F12" s="5">
        <v>44665</v>
      </c>
      <c r="G12" s="4" t="s">
        <v>9</v>
      </c>
      <c r="H12" s="6">
        <v>109190</v>
      </c>
    </row>
    <row r="13" spans="2:8" x14ac:dyDescent="0.3">
      <c r="B13" s="4" t="s">
        <v>194</v>
      </c>
      <c r="C13" s="4" t="s">
        <v>8</v>
      </c>
      <c r="D13" s="4">
        <v>40</v>
      </c>
      <c r="E13" s="4" t="s">
        <v>16</v>
      </c>
      <c r="F13" s="5">
        <v>44320</v>
      </c>
      <c r="G13" s="4" t="s">
        <v>12</v>
      </c>
      <c r="H13" s="6">
        <v>104410</v>
      </c>
    </row>
    <row r="14" spans="2:8" x14ac:dyDescent="0.3">
      <c r="B14" s="4" t="s">
        <v>177</v>
      </c>
      <c r="C14" s="4" t="s">
        <v>15</v>
      </c>
      <c r="D14" s="4">
        <v>30</v>
      </c>
      <c r="E14" s="4" t="s">
        <v>16</v>
      </c>
      <c r="F14" s="5">
        <v>44544</v>
      </c>
      <c r="G14" s="4" t="s">
        <v>21</v>
      </c>
      <c r="H14" s="6">
        <v>96800</v>
      </c>
    </row>
    <row r="15" spans="2:8" x14ac:dyDescent="0.3">
      <c r="B15" s="4" t="s">
        <v>123</v>
      </c>
      <c r="C15" s="4" t="s">
        <v>15</v>
      </c>
      <c r="D15" s="4">
        <v>28</v>
      </c>
      <c r="E15" s="4" t="s">
        <v>13</v>
      </c>
      <c r="F15" s="5">
        <v>43980</v>
      </c>
      <c r="G15" s="4" t="s">
        <v>21</v>
      </c>
      <c r="H15" s="6">
        <v>48170</v>
      </c>
    </row>
    <row r="16" spans="2:8" x14ac:dyDescent="0.3">
      <c r="B16" s="4" t="s">
        <v>140</v>
      </c>
      <c r="C16" s="4" t="s">
        <v>15</v>
      </c>
      <c r="D16" s="4">
        <v>21</v>
      </c>
      <c r="E16" s="4" t="s">
        <v>16</v>
      </c>
      <c r="F16" s="5">
        <v>44042</v>
      </c>
      <c r="G16" s="4" t="s">
        <v>9</v>
      </c>
      <c r="H16" s="6">
        <v>37920</v>
      </c>
    </row>
    <row r="17" spans="2:8" x14ac:dyDescent="0.3">
      <c r="B17" s="4" t="s">
        <v>178</v>
      </c>
      <c r="C17" s="4" t="s">
        <v>15</v>
      </c>
      <c r="D17" s="4">
        <v>34</v>
      </c>
      <c r="E17" s="4" t="s">
        <v>16</v>
      </c>
      <c r="F17" s="5">
        <v>44642</v>
      </c>
      <c r="G17" s="4" t="s">
        <v>9</v>
      </c>
      <c r="H17" s="6">
        <v>112650</v>
      </c>
    </row>
    <row r="18" spans="2:8" x14ac:dyDescent="0.3">
      <c r="B18" s="4" t="s">
        <v>165</v>
      </c>
      <c r="C18" s="4" t="s">
        <v>8</v>
      </c>
      <c r="D18" s="4">
        <v>34</v>
      </c>
      <c r="E18" s="4" t="s">
        <v>24</v>
      </c>
      <c r="F18" s="5">
        <v>44660</v>
      </c>
      <c r="G18" s="4" t="s">
        <v>19</v>
      </c>
      <c r="H18" s="6">
        <v>49630</v>
      </c>
    </row>
    <row r="19" spans="2:8" x14ac:dyDescent="0.3">
      <c r="B19" s="4" t="s">
        <v>199</v>
      </c>
      <c r="C19" s="4" t="s">
        <v>15</v>
      </c>
      <c r="D19" s="4">
        <v>36</v>
      </c>
      <c r="E19" s="4" t="s">
        <v>16</v>
      </c>
      <c r="F19" s="5">
        <v>43958</v>
      </c>
      <c r="G19" s="4" t="s">
        <v>12</v>
      </c>
      <c r="H19" s="6">
        <v>118840</v>
      </c>
    </row>
    <row r="20" spans="2:8" x14ac:dyDescent="0.3">
      <c r="B20" s="4" t="s">
        <v>159</v>
      </c>
      <c r="C20" s="4" t="s">
        <v>15</v>
      </c>
      <c r="D20" s="4">
        <v>30</v>
      </c>
      <c r="E20" s="4" t="s">
        <v>16</v>
      </c>
      <c r="F20" s="5">
        <v>44789</v>
      </c>
      <c r="G20" s="4" t="s">
        <v>12</v>
      </c>
      <c r="H20" s="6">
        <v>69710</v>
      </c>
    </row>
    <row r="21" spans="2:8" x14ac:dyDescent="0.3">
      <c r="B21" s="4" t="s">
        <v>197</v>
      </c>
      <c r="C21" s="4" t="s">
        <v>15</v>
      </c>
      <c r="D21" s="4">
        <v>20</v>
      </c>
      <c r="E21" s="4" t="s">
        <v>16</v>
      </c>
      <c r="F21" s="5">
        <v>44683</v>
      </c>
      <c r="G21" s="4" t="s">
        <v>9</v>
      </c>
      <c r="H21" s="6">
        <v>79570</v>
      </c>
    </row>
    <row r="22" spans="2:8" x14ac:dyDescent="0.3">
      <c r="B22" s="4" t="s">
        <v>154</v>
      </c>
      <c r="C22" s="4" t="s">
        <v>8</v>
      </c>
      <c r="D22" s="4">
        <v>22</v>
      </c>
      <c r="E22" s="4" t="s">
        <v>13</v>
      </c>
      <c r="F22" s="5">
        <v>44388</v>
      </c>
      <c r="G22" s="4" t="s">
        <v>9</v>
      </c>
      <c r="H22" s="6">
        <v>76900</v>
      </c>
    </row>
    <row r="23" spans="2:8" x14ac:dyDescent="0.3">
      <c r="B23" s="4" t="s">
        <v>182</v>
      </c>
      <c r="C23" s="4" t="s">
        <v>15</v>
      </c>
      <c r="D23" s="4">
        <v>27</v>
      </c>
      <c r="E23" s="4" t="s">
        <v>16</v>
      </c>
      <c r="F23" s="5">
        <v>44073</v>
      </c>
      <c r="G23" s="4" t="s">
        <v>19</v>
      </c>
      <c r="H23" s="6">
        <v>54970</v>
      </c>
    </row>
    <row r="24" spans="2:8" x14ac:dyDescent="0.3">
      <c r="B24" s="4" t="s">
        <v>118</v>
      </c>
      <c r="C24" s="4" t="s">
        <v>15</v>
      </c>
      <c r="D24" s="4">
        <v>37</v>
      </c>
      <c r="E24" s="4" t="s">
        <v>24</v>
      </c>
      <c r="F24" s="5">
        <v>44277</v>
      </c>
      <c r="G24" s="4" t="s">
        <v>12</v>
      </c>
      <c r="H24" s="6">
        <v>88050</v>
      </c>
    </row>
    <row r="25" spans="2:8" x14ac:dyDescent="0.3">
      <c r="B25" s="4" t="s">
        <v>192</v>
      </c>
      <c r="C25" s="4" t="s">
        <v>15</v>
      </c>
      <c r="D25" s="4">
        <v>43</v>
      </c>
      <c r="E25" s="4" t="s">
        <v>16</v>
      </c>
      <c r="F25" s="5">
        <v>44558</v>
      </c>
      <c r="G25" s="4" t="s">
        <v>19</v>
      </c>
      <c r="H25" s="6">
        <v>36040</v>
      </c>
    </row>
    <row r="26" spans="2:8" x14ac:dyDescent="0.3">
      <c r="B26" s="4" t="s">
        <v>111</v>
      </c>
      <c r="C26" s="4" t="s">
        <v>8</v>
      </c>
      <c r="D26" s="4">
        <v>42</v>
      </c>
      <c r="E26" s="4" t="s">
        <v>10</v>
      </c>
      <c r="F26" s="5">
        <v>44718</v>
      </c>
      <c r="G26" s="4" t="s">
        <v>9</v>
      </c>
      <c r="H26" s="6">
        <v>75000</v>
      </c>
    </row>
    <row r="27" spans="2:8" x14ac:dyDescent="0.3">
      <c r="B27" s="4" t="s">
        <v>149</v>
      </c>
      <c r="C27" s="4" t="s">
        <v>15</v>
      </c>
      <c r="D27" s="4">
        <v>35</v>
      </c>
      <c r="E27" s="4" t="s">
        <v>16</v>
      </c>
      <c r="F27" s="5">
        <v>44666</v>
      </c>
      <c r="G27" s="4" t="s">
        <v>9</v>
      </c>
      <c r="H27" s="6">
        <v>40400</v>
      </c>
    </row>
    <row r="28" spans="2:8" x14ac:dyDescent="0.3">
      <c r="B28" s="4" t="s">
        <v>196</v>
      </c>
      <c r="C28" s="4" t="s">
        <v>15</v>
      </c>
      <c r="D28" s="4">
        <v>24</v>
      </c>
      <c r="E28" s="4" t="s">
        <v>16</v>
      </c>
      <c r="F28" s="5">
        <v>44625</v>
      </c>
      <c r="G28" s="4" t="s">
        <v>12</v>
      </c>
      <c r="H28" s="6">
        <v>100420</v>
      </c>
    </row>
    <row r="29" spans="2:8" x14ac:dyDescent="0.3">
      <c r="B29" s="4" t="s">
        <v>120</v>
      </c>
      <c r="C29" s="4" t="s">
        <v>8</v>
      </c>
      <c r="D29" s="4">
        <v>31</v>
      </c>
      <c r="E29" s="4" t="s">
        <v>16</v>
      </c>
      <c r="F29" s="5">
        <v>44604</v>
      </c>
      <c r="G29" s="4" t="s">
        <v>12</v>
      </c>
      <c r="H29" s="6">
        <v>58100</v>
      </c>
    </row>
    <row r="30" spans="2:8" x14ac:dyDescent="0.3">
      <c r="B30" s="4" t="s">
        <v>114</v>
      </c>
      <c r="C30" s="4" t="s">
        <v>8</v>
      </c>
      <c r="D30" s="4">
        <v>44</v>
      </c>
      <c r="E30" s="4" t="s">
        <v>16</v>
      </c>
      <c r="F30" s="5">
        <v>44985</v>
      </c>
      <c r="G30" s="4" t="s">
        <v>12</v>
      </c>
      <c r="H30" s="6">
        <v>114870</v>
      </c>
    </row>
    <row r="31" spans="2:8" x14ac:dyDescent="0.3">
      <c r="B31" s="4" t="s">
        <v>158</v>
      </c>
      <c r="C31" s="4" t="s">
        <v>8</v>
      </c>
      <c r="D31" s="4">
        <v>32</v>
      </c>
      <c r="E31" s="4" t="s">
        <v>16</v>
      </c>
      <c r="F31" s="5">
        <v>44549</v>
      </c>
      <c r="G31" s="4" t="s">
        <v>9</v>
      </c>
      <c r="H31" s="6">
        <v>41570</v>
      </c>
    </row>
    <row r="32" spans="2:8" x14ac:dyDescent="0.3">
      <c r="B32" s="4" t="s">
        <v>173</v>
      </c>
      <c r="C32" s="4" t="s">
        <v>8</v>
      </c>
      <c r="D32" s="4">
        <v>30</v>
      </c>
      <c r="E32" s="4" t="s">
        <v>16</v>
      </c>
      <c r="F32" s="5">
        <v>44800</v>
      </c>
      <c r="G32" s="4" t="s">
        <v>9</v>
      </c>
      <c r="H32" s="6">
        <v>112570</v>
      </c>
    </row>
    <row r="33" spans="2:8" x14ac:dyDescent="0.3">
      <c r="B33" s="4" t="s">
        <v>151</v>
      </c>
      <c r="C33" s="4" t="s">
        <v>15</v>
      </c>
      <c r="D33" s="4">
        <v>26</v>
      </c>
      <c r="E33" s="4" t="s">
        <v>16</v>
      </c>
      <c r="F33" s="5">
        <v>44164</v>
      </c>
      <c r="G33" s="4" t="s">
        <v>9</v>
      </c>
      <c r="H33" s="6">
        <v>47360</v>
      </c>
    </row>
    <row r="34" spans="2:8" x14ac:dyDescent="0.3">
      <c r="B34" s="4" t="s">
        <v>126</v>
      </c>
      <c r="C34" s="4" t="s">
        <v>8</v>
      </c>
      <c r="D34" s="4">
        <v>21</v>
      </c>
      <c r="E34" s="4" t="s">
        <v>16</v>
      </c>
      <c r="F34" s="5">
        <v>44256</v>
      </c>
      <c r="G34" s="4" t="s">
        <v>21</v>
      </c>
      <c r="H34" s="6">
        <v>65920</v>
      </c>
    </row>
    <row r="35" spans="2:8" x14ac:dyDescent="0.3">
      <c r="B35" s="4" t="s">
        <v>200</v>
      </c>
      <c r="C35" s="4" t="s">
        <v>8</v>
      </c>
      <c r="D35" s="4">
        <v>28</v>
      </c>
      <c r="E35" s="4" t="s">
        <v>16</v>
      </c>
      <c r="F35" s="5">
        <v>44571</v>
      </c>
      <c r="G35" s="4" t="s">
        <v>9</v>
      </c>
      <c r="H35" s="6">
        <v>99970</v>
      </c>
    </row>
    <row r="36" spans="2:8" x14ac:dyDescent="0.3">
      <c r="B36" s="4" t="s">
        <v>133</v>
      </c>
      <c r="C36" s="4" t="s">
        <v>8</v>
      </c>
      <c r="D36" s="4">
        <v>25</v>
      </c>
      <c r="E36" s="4" t="s">
        <v>13</v>
      </c>
      <c r="F36" s="5">
        <v>44633</v>
      </c>
      <c r="G36" s="4" t="s">
        <v>12</v>
      </c>
      <c r="H36" s="6">
        <v>80700</v>
      </c>
    </row>
    <row r="37" spans="2:8" x14ac:dyDescent="0.3">
      <c r="B37" s="4" t="s">
        <v>155</v>
      </c>
      <c r="C37" s="4" t="s">
        <v>15</v>
      </c>
      <c r="D37" s="4">
        <v>24</v>
      </c>
      <c r="E37" s="4" t="s">
        <v>24</v>
      </c>
      <c r="F37" s="5">
        <v>44375</v>
      </c>
      <c r="G37" s="4" t="s">
        <v>21</v>
      </c>
      <c r="H37" s="6">
        <v>52610</v>
      </c>
    </row>
    <row r="38" spans="2:8" x14ac:dyDescent="0.3">
      <c r="B38" s="4" t="s">
        <v>180</v>
      </c>
      <c r="C38" s="4" t="s">
        <v>15</v>
      </c>
      <c r="D38" s="4">
        <v>29</v>
      </c>
      <c r="E38" s="4" t="s">
        <v>24</v>
      </c>
      <c r="F38" s="5">
        <v>44119</v>
      </c>
      <c r="G38" s="4" t="s">
        <v>12</v>
      </c>
      <c r="H38" s="6">
        <v>112110</v>
      </c>
    </row>
    <row r="39" spans="2:8" x14ac:dyDescent="0.3">
      <c r="B39" s="4" t="s">
        <v>152</v>
      </c>
      <c r="C39" s="4" t="s">
        <v>8</v>
      </c>
      <c r="D39" s="4">
        <v>27</v>
      </c>
      <c r="E39" s="4" t="s">
        <v>16</v>
      </c>
      <c r="F39" s="5">
        <v>44061</v>
      </c>
      <c r="G39" s="4" t="s">
        <v>56</v>
      </c>
      <c r="H39" s="6">
        <v>119110</v>
      </c>
    </row>
    <row r="40" spans="2:8" x14ac:dyDescent="0.3">
      <c r="B40" s="4" t="s">
        <v>150</v>
      </c>
      <c r="C40" s="4" t="s">
        <v>15</v>
      </c>
      <c r="D40" s="4">
        <v>22</v>
      </c>
      <c r="E40" s="4" t="s">
        <v>13</v>
      </c>
      <c r="F40" s="5">
        <v>44384</v>
      </c>
      <c r="G40" s="4" t="s">
        <v>19</v>
      </c>
      <c r="H40" s="6">
        <v>112780</v>
      </c>
    </row>
    <row r="41" spans="2:8" x14ac:dyDescent="0.3">
      <c r="B41" s="4" t="s">
        <v>175</v>
      </c>
      <c r="C41" s="4" t="s">
        <v>8</v>
      </c>
      <c r="D41" s="4">
        <v>36</v>
      </c>
      <c r="E41" s="4" t="s">
        <v>16</v>
      </c>
      <c r="F41" s="5">
        <v>44023</v>
      </c>
      <c r="G41" s="4" t="s">
        <v>9</v>
      </c>
      <c r="H41" s="6">
        <v>114890</v>
      </c>
    </row>
    <row r="42" spans="2:8" x14ac:dyDescent="0.3">
      <c r="B42" s="4" t="s">
        <v>146</v>
      </c>
      <c r="C42" s="4" t="s">
        <v>15</v>
      </c>
      <c r="D42" s="4">
        <v>27</v>
      </c>
      <c r="E42" s="4" t="s">
        <v>16</v>
      </c>
      <c r="F42" s="5">
        <v>44506</v>
      </c>
      <c r="G42" s="4" t="s">
        <v>21</v>
      </c>
      <c r="H42" s="6">
        <v>48980</v>
      </c>
    </row>
    <row r="43" spans="2:8" x14ac:dyDescent="0.3">
      <c r="B43" s="4" t="s">
        <v>170</v>
      </c>
      <c r="C43" s="4" t="s">
        <v>15</v>
      </c>
      <c r="D43" s="4">
        <v>21</v>
      </c>
      <c r="E43" s="4" t="s">
        <v>16</v>
      </c>
      <c r="F43" s="5">
        <v>44180</v>
      </c>
      <c r="G43" s="4" t="s">
        <v>56</v>
      </c>
      <c r="H43" s="6">
        <v>75880</v>
      </c>
    </row>
    <row r="44" spans="2:8" x14ac:dyDescent="0.3">
      <c r="B44" s="4" t="s">
        <v>167</v>
      </c>
      <c r="C44" s="4" t="s">
        <v>8</v>
      </c>
      <c r="D44" s="4">
        <v>28</v>
      </c>
      <c r="E44" s="4" t="s">
        <v>16</v>
      </c>
      <c r="F44" s="5">
        <v>44296</v>
      </c>
      <c r="G44" s="4" t="s">
        <v>19</v>
      </c>
      <c r="H44" s="6">
        <v>53240</v>
      </c>
    </row>
    <row r="45" spans="2:8" x14ac:dyDescent="0.3">
      <c r="B45" s="4" t="s">
        <v>122</v>
      </c>
      <c r="C45" s="4" t="s">
        <v>8</v>
      </c>
      <c r="D45" s="4">
        <v>34</v>
      </c>
      <c r="E45" s="4" t="s">
        <v>16</v>
      </c>
      <c r="F45" s="5">
        <v>44397</v>
      </c>
      <c r="G45" s="4" t="s">
        <v>21</v>
      </c>
      <c r="H45" s="6">
        <v>85000</v>
      </c>
    </row>
    <row r="46" spans="2:8" x14ac:dyDescent="0.3">
      <c r="B46" s="4" t="s">
        <v>179</v>
      </c>
      <c r="C46" s="4" t="s">
        <v>8</v>
      </c>
      <c r="D46" s="4">
        <v>21</v>
      </c>
      <c r="E46" s="4" t="s">
        <v>16</v>
      </c>
      <c r="F46" s="5">
        <v>44619</v>
      </c>
      <c r="G46" s="4" t="s">
        <v>12</v>
      </c>
      <c r="H46" s="6">
        <v>33920</v>
      </c>
    </row>
    <row r="47" spans="2:8" x14ac:dyDescent="0.3">
      <c r="B47" s="4" t="s">
        <v>188</v>
      </c>
      <c r="C47" s="4" t="s">
        <v>8</v>
      </c>
      <c r="D47" s="4">
        <v>33</v>
      </c>
      <c r="E47" s="4" t="s">
        <v>16</v>
      </c>
      <c r="F47" s="5">
        <v>44253</v>
      </c>
      <c r="G47" s="4" t="s">
        <v>12</v>
      </c>
      <c r="H47" s="6">
        <v>75280</v>
      </c>
    </row>
    <row r="48" spans="2:8" x14ac:dyDescent="0.3">
      <c r="B48" s="4" t="s">
        <v>130</v>
      </c>
      <c r="C48" s="4" t="s">
        <v>8</v>
      </c>
      <c r="D48" s="4">
        <v>34</v>
      </c>
      <c r="E48" s="4" t="s">
        <v>16</v>
      </c>
      <c r="F48" s="5">
        <v>44594</v>
      </c>
      <c r="G48" s="4" t="s">
        <v>21</v>
      </c>
      <c r="H48" s="6">
        <v>58940</v>
      </c>
    </row>
    <row r="49" spans="2:8" x14ac:dyDescent="0.3">
      <c r="B49" s="4" t="s">
        <v>136</v>
      </c>
      <c r="C49" s="4" t="s">
        <v>8</v>
      </c>
      <c r="D49" s="4">
        <v>28</v>
      </c>
      <c r="E49" s="4" t="s">
        <v>16</v>
      </c>
      <c r="F49" s="5">
        <v>44425</v>
      </c>
      <c r="G49" s="4" t="s">
        <v>9</v>
      </c>
      <c r="H49" s="6">
        <v>104770</v>
      </c>
    </row>
    <row r="50" spans="2:8" x14ac:dyDescent="0.3">
      <c r="B50" s="4" t="s">
        <v>125</v>
      </c>
      <c r="C50" s="4" t="s">
        <v>15</v>
      </c>
      <c r="D50" s="4">
        <v>21</v>
      </c>
      <c r="E50" s="4" t="s">
        <v>16</v>
      </c>
      <c r="F50" s="5">
        <v>44701</v>
      </c>
      <c r="G50" s="4" t="s">
        <v>9</v>
      </c>
      <c r="H50" s="6">
        <v>57090</v>
      </c>
    </row>
    <row r="51" spans="2:8" x14ac:dyDescent="0.3">
      <c r="B51" s="4" t="s">
        <v>160</v>
      </c>
      <c r="C51" s="4" t="s">
        <v>15</v>
      </c>
      <c r="D51" s="4">
        <v>27</v>
      </c>
      <c r="E51" s="4" t="s">
        <v>13</v>
      </c>
      <c r="F51" s="5">
        <v>44174</v>
      </c>
      <c r="G51" s="4" t="s">
        <v>21</v>
      </c>
      <c r="H51" s="6">
        <v>91650</v>
      </c>
    </row>
    <row r="52" spans="2:8" x14ac:dyDescent="0.3">
      <c r="B52" s="4" t="s">
        <v>183</v>
      </c>
      <c r="C52" s="4" t="s">
        <v>15</v>
      </c>
      <c r="D52" s="4">
        <v>42</v>
      </c>
      <c r="E52" s="4" t="s">
        <v>24</v>
      </c>
      <c r="F52" s="5">
        <v>44670</v>
      </c>
      <c r="G52" s="4" t="s">
        <v>21</v>
      </c>
      <c r="H52" s="6">
        <v>70270</v>
      </c>
    </row>
    <row r="53" spans="2:8" x14ac:dyDescent="0.3">
      <c r="B53" s="4" t="s">
        <v>129</v>
      </c>
      <c r="C53" s="4" t="s">
        <v>8</v>
      </c>
      <c r="D53" s="4">
        <v>28</v>
      </c>
      <c r="E53" s="4" t="s">
        <v>16</v>
      </c>
      <c r="F53" s="5">
        <v>44124</v>
      </c>
      <c r="G53" s="4" t="s">
        <v>21</v>
      </c>
      <c r="H53" s="6">
        <v>75970</v>
      </c>
    </row>
    <row r="54" spans="2:8" x14ac:dyDescent="0.3">
      <c r="B54" s="4" t="s">
        <v>112</v>
      </c>
      <c r="C54" s="4"/>
      <c r="D54" s="4">
        <v>27</v>
      </c>
      <c r="E54" s="4" t="s">
        <v>13</v>
      </c>
      <c r="F54" s="5">
        <v>44212</v>
      </c>
      <c r="G54" s="4" t="s">
        <v>12</v>
      </c>
      <c r="H54" s="6">
        <v>90700</v>
      </c>
    </row>
    <row r="55" spans="2:8" x14ac:dyDescent="0.3">
      <c r="B55" s="4" t="s">
        <v>131</v>
      </c>
      <c r="C55" s="4" t="s">
        <v>15</v>
      </c>
      <c r="D55" s="4">
        <v>30</v>
      </c>
      <c r="E55" s="4" t="s">
        <v>16</v>
      </c>
      <c r="F55" s="5">
        <v>44607</v>
      </c>
      <c r="G55" s="4" t="s">
        <v>9</v>
      </c>
      <c r="H55" s="6">
        <v>60570</v>
      </c>
    </row>
    <row r="56" spans="2:8" x14ac:dyDescent="0.3">
      <c r="B56" s="4" t="s">
        <v>134</v>
      </c>
      <c r="C56" s="4" t="s">
        <v>15</v>
      </c>
      <c r="D56" s="4">
        <v>33</v>
      </c>
      <c r="E56" s="4" t="s">
        <v>16</v>
      </c>
      <c r="F56" s="5">
        <v>44103</v>
      </c>
      <c r="G56" s="4" t="s">
        <v>9</v>
      </c>
      <c r="H56" s="6">
        <v>115920</v>
      </c>
    </row>
    <row r="57" spans="2:8" x14ac:dyDescent="0.3">
      <c r="B57" s="4" t="s">
        <v>186</v>
      </c>
      <c r="C57" s="4" t="s">
        <v>8</v>
      </c>
      <c r="D57" s="4">
        <v>33</v>
      </c>
      <c r="E57" s="4" t="s">
        <v>16</v>
      </c>
      <c r="F57" s="5">
        <v>44006</v>
      </c>
      <c r="G57" s="4" t="s">
        <v>21</v>
      </c>
      <c r="H57" s="6">
        <v>65360</v>
      </c>
    </row>
    <row r="58" spans="2:8" x14ac:dyDescent="0.3">
      <c r="B58" s="4" t="s">
        <v>116</v>
      </c>
      <c r="C58" s="4"/>
      <c r="D58" s="4">
        <v>30</v>
      </c>
      <c r="E58" s="4" t="s">
        <v>16</v>
      </c>
      <c r="F58" s="5">
        <v>44535</v>
      </c>
      <c r="G58" s="4" t="s">
        <v>21</v>
      </c>
      <c r="H58" s="6">
        <v>64000</v>
      </c>
    </row>
    <row r="59" spans="2:8" x14ac:dyDescent="0.3">
      <c r="B59" s="4" t="s">
        <v>195</v>
      </c>
      <c r="C59" s="4" t="s">
        <v>8</v>
      </c>
      <c r="D59" s="4">
        <v>34</v>
      </c>
      <c r="E59" s="4" t="s">
        <v>16</v>
      </c>
      <c r="F59" s="5">
        <v>44383</v>
      </c>
      <c r="G59" s="4" t="s">
        <v>21</v>
      </c>
      <c r="H59" s="6">
        <v>92450</v>
      </c>
    </row>
    <row r="60" spans="2:8" x14ac:dyDescent="0.3">
      <c r="B60" s="4" t="s">
        <v>113</v>
      </c>
      <c r="C60" s="4" t="s">
        <v>15</v>
      </c>
      <c r="D60" s="4">
        <v>31</v>
      </c>
      <c r="E60" s="4" t="s">
        <v>16</v>
      </c>
      <c r="F60" s="5">
        <v>44450</v>
      </c>
      <c r="G60" s="4" t="s">
        <v>12</v>
      </c>
      <c r="H60" s="6">
        <v>48950</v>
      </c>
    </row>
    <row r="61" spans="2:8" x14ac:dyDescent="0.3">
      <c r="B61" s="4" t="s">
        <v>185</v>
      </c>
      <c r="C61" s="4" t="s">
        <v>8</v>
      </c>
      <c r="D61" s="4">
        <v>27</v>
      </c>
      <c r="E61" s="4" t="s">
        <v>16</v>
      </c>
      <c r="F61" s="5">
        <v>44625</v>
      </c>
      <c r="G61" s="4" t="s">
        <v>12</v>
      </c>
      <c r="H61" s="6">
        <v>83750</v>
      </c>
    </row>
    <row r="62" spans="2:8" x14ac:dyDescent="0.3">
      <c r="B62" s="4" t="s">
        <v>166</v>
      </c>
      <c r="C62" s="4" t="s">
        <v>8</v>
      </c>
      <c r="D62" s="4">
        <v>40</v>
      </c>
      <c r="E62" s="4" t="s">
        <v>16</v>
      </c>
      <c r="F62" s="5">
        <v>44276</v>
      </c>
      <c r="G62" s="4" t="s">
        <v>12</v>
      </c>
      <c r="H62" s="6">
        <v>87620</v>
      </c>
    </row>
    <row r="63" spans="2:8" x14ac:dyDescent="0.3">
      <c r="B63" s="4" t="s">
        <v>184</v>
      </c>
      <c r="C63" s="4" t="s">
        <v>8</v>
      </c>
      <c r="D63" s="4">
        <v>20</v>
      </c>
      <c r="E63" s="4" t="s">
        <v>24</v>
      </c>
      <c r="F63" s="5">
        <v>44476</v>
      </c>
      <c r="G63" s="4" t="s">
        <v>19</v>
      </c>
      <c r="H63" s="6">
        <v>68900</v>
      </c>
    </row>
    <row r="64" spans="2:8" x14ac:dyDescent="0.3">
      <c r="B64" s="4" t="s">
        <v>157</v>
      </c>
      <c r="C64" s="4" t="s">
        <v>15</v>
      </c>
      <c r="D64" s="4">
        <v>32</v>
      </c>
      <c r="E64" s="4" t="s">
        <v>16</v>
      </c>
      <c r="F64" s="5">
        <v>44403</v>
      </c>
      <c r="G64" s="4" t="s">
        <v>19</v>
      </c>
      <c r="H64" s="6">
        <v>53540</v>
      </c>
    </row>
    <row r="65" spans="2:8" x14ac:dyDescent="0.3">
      <c r="B65" s="4" t="s">
        <v>172</v>
      </c>
      <c r="C65" s="4" t="s">
        <v>15</v>
      </c>
      <c r="D65" s="4">
        <v>28</v>
      </c>
      <c r="E65" s="4" t="s">
        <v>42</v>
      </c>
      <c r="F65" s="5">
        <v>44758</v>
      </c>
      <c r="G65" s="4" t="s">
        <v>19</v>
      </c>
      <c r="H65" s="6">
        <v>43510</v>
      </c>
    </row>
    <row r="66" spans="2:8" x14ac:dyDescent="0.3">
      <c r="B66" s="4" t="s">
        <v>127</v>
      </c>
      <c r="C66" s="4" t="s">
        <v>8</v>
      </c>
      <c r="D66" s="4">
        <v>38</v>
      </c>
      <c r="E66" s="4" t="s">
        <v>10</v>
      </c>
      <c r="F66" s="5">
        <v>44316</v>
      </c>
      <c r="G66" s="4" t="s">
        <v>19</v>
      </c>
      <c r="H66" s="6">
        <v>109160</v>
      </c>
    </row>
    <row r="67" spans="2:8" x14ac:dyDescent="0.3">
      <c r="B67" s="4" t="s">
        <v>198</v>
      </c>
      <c r="C67" s="4" t="s">
        <v>15</v>
      </c>
      <c r="D67" s="4">
        <v>40</v>
      </c>
      <c r="E67" s="4" t="s">
        <v>16</v>
      </c>
      <c r="F67" s="5">
        <v>44204</v>
      </c>
      <c r="G67" s="4" t="s">
        <v>9</v>
      </c>
      <c r="H67" s="6">
        <v>99750</v>
      </c>
    </row>
    <row r="68" spans="2:8" x14ac:dyDescent="0.3">
      <c r="B68" s="4" t="s">
        <v>124</v>
      </c>
      <c r="C68" s="4" t="s">
        <v>8</v>
      </c>
      <c r="D68" s="4">
        <v>31</v>
      </c>
      <c r="E68" s="4" t="s">
        <v>16</v>
      </c>
      <c r="F68" s="5">
        <v>44084</v>
      </c>
      <c r="G68" s="4" t="s">
        <v>12</v>
      </c>
      <c r="H68" s="6">
        <v>41980</v>
      </c>
    </row>
    <row r="69" spans="2:8" x14ac:dyDescent="0.3">
      <c r="B69" s="4" t="s">
        <v>187</v>
      </c>
      <c r="C69" s="4" t="s">
        <v>15</v>
      </c>
      <c r="D69" s="4">
        <v>36</v>
      </c>
      <c r="E69" s="4" t="s">
        <v>16</v>
      </c>
      <c r="F69" s="5">
        <v>44272</v>
      </c>
      <c r="G69" s="4" t="s">
        <v>21</v>
      </c>
      <c r="H69" s="6">
        <v>71380</v>
      </c>
    </row>
    <row r="70" spans="2:8" x14ac:dyDescent="0.3">
      <c r="B70" s="4" t="s">
        <v>191</v>
      </c>
      <c r="C70" s="4" t="s">
        <v>15</v>
      </c>
      <c r="D70" s="4">
        <v>27</v>
      </c>
      <c r="E70" s="4" t="s">
        <v>42</v>
      </c>
      <c r="F70" s="5">
        <v>44547</v>
      </c>
      <c r="G70" s="4" t="s">
        <v>9</v>
      </c>
      <c r="H70" s="6">
        <v>113280</v>
      </c>
    </row>
    <row r="71" spans="2:8" x14ac:dyDescent="0.3">
      <c r="B71" s="4" t="s">
        <v>181</v>
      </c>
      <c r="C71" s="4" t="s">
        <v>8</v>
      </c>
      <c r="D71" s="4">
        <v>33</v>
      </c>
      <c r="E71" s="4" t="s">
        <v>16</v>
      </c>
      <c r="F71" s="5">
        <v>44747</v>
      </c>
      <c r="G71" s="4" t="s">
        <v>21</v>
      </c>
      <c r="H71" s="6">
        <v>86570</v>
      </c>
    </row>
    <row r="72" spans="2:8" x14ac:dyDescent="0.3">
      <c r="B72" s="4" t="s">
        <v>139</v>
      </c>
      <c r="C72" s="4" t="s">
        <v>15</v>
      </c>
      <c r="D72" s="4">
        <v>26</v>
      </c>
      <c r="E72" s="4" t="s">
        <v>16</v>
      </c>
      <c r="F72" s="5">
        <v>44350</v>
      </c>
      <c r="G72" s="4" t="s">
        <v>9</v>
      </c>
      <c r="H72" s="6">
        <v>53540</v>
      </c>
    </row>
    <row r="73" spans="2:8" x14ac:dyDescent="0.3">
      <c r="B73" s="4" t="s">
        <v>190</v>
      </c>
      <c r="C73" s="4" t="s">
        <v>15</v>
      </c>
      <c r="D73" s="4">
        <v>37</v>
      </c>
      <c r="E73" s="4" t="s">
        <v>16</v>
      </c>
      <c r="F73" s="5">
        <v>44640</v>
      </c>
      <c r="G73" s="4" t="s">
        <v>12</v>
      </c>
      <c r="H73" s="6">
        <v>69070</v>
      </c>
    </row>
    <row r="74" spans="2:8" x14ac:dyDescent="0.3">
      <c r="B74" s="4" t="s">
        <v>121</v>
      </c>
      <c r="C74" s="4" t="s">
        <v>8</v>
      </c>
      <c r="D74" s="4">
        <v>30</v>
      </c>
      <c r="E74" s="4" t="s">
        <v>24</v>
      </c>
      <c r="F74" s="5">
        <v>44328</v>
      </c>
      <c r="G74" s="4" t="s">
        <v>21</v>
      </c>
      <c r="H74" s="6">
        <v>67910</v>
      </c>
    </row>
    <row r="75" spans="2:8" x14ac:dyDescent="0.3">
      <c r="B75" s="4" t="s">
        <v>119</v>
      </c>
      <c r="C75" s="4" t="s">
        <v>15</v>
      </c>
      <c r="D75" s="4">
        <v>30</v>
      </c>
      <c r="E75" s="4" t="s">
        <v>16</v>
      </c>
      <c r="F75" s="5">
        <v>44214</v>
      </c>
      <c r="G75" s="4" t="s">
        <v>12</v>
      </c>
      <c r="H75" s="6">
        <v>69120</v>
      </c>
    </row>
    <row r="76" spans="2:8" x14ac:dyDescent="0.3">
      <c r="B76" s="4" t="s">
        <v>132</v>
      </c>
      <c r="C76" s="4" t="s">
        <v>8</v>
      </c>
      <c r="D76" s="4">
        <v>34</v>
      </c>
      <c r="E76" s="4" t="s">
        <v>16</v>
      </c>
      <c r="F76" s="5">
        <v>44550</v>
      </c>
      <c r="G76" s="4" t="s">
        <v>21</v>
      </c>
      <c r="H76" s="6">
        <v>60130</v>
      </c>
    </row>
    <row r="77" spans="2:8" x14ac:dyDescent="0.3">
      <c r="B77" s="4" t="s">
        <v>161</v>
      </c>
      <c r="C77" s="4" t="s">
        <v>15</v>
      </c>
      <c r="D77" s="4">
        <v>23</v>
      </c>
      <c r="E77" s="4" t="s">
        <v>16</v>
      </c>
      <c r="F77" s="5">
        <v>44378</v>
      </c>
      <c r="G77" s="4" t="s">
        <v>9</v>
      </c>
      <c r="H77" s="6">
        <v>106460</v>
      </c>
    </row>
    <row r="78" spans="2:8" x14ac:dyDescent="0.3">
      <c r="B78" s="4" t="s">
        <v>148</v>
      </c>
      <c r="C78" s="4" t="s">
        <v>8</v>
      </c>
      <c r="D78" s="4">
        <v>37</v>
      </c>
      <c r="E78" s="4" t="s">
        <v>16</v>
      </c>
      <c r="F78" s="5">
        <v>44389</v>
      </c>
      <c r="G78" s="4" t="s">
        <v>56</v>
      </c>
      <c r="H78" s="6">
        <v>118100</v>
      </c>
    </row>
    <row r="79" spans="2:8" x14ac:dyDescent="0.3">
      <c r="B79" s="4" t="s">
        <v>164</v>
      </c>
      <c r="C79" s="4" t="s">
        <v>8</v>
      </c>
      <c r="D79" s="4">
        <v>36</v>
      </c>
      <c r="E79" s="4" t="s">
        <v>16</v>
      </c>
      <c r="F79" s="5">
        <v>44468</v>
      </c>
      <c r="G79" s="4" t="s">
        <v>9</v>
      </c>
      <c r="H79" s="6">
        <v>78390</v>
      </c>
    </row>
    <row r="80" spans="2:8" x14ac:dyDescent="0.3">
      <c r="B80" s="4" t="s">
        <v>147</v>
      </c>
      <c r="C80" s="4" t="s">
        <v>8</v>
      </c>
      <c r="D80" s="4">
        <v>30</v>
      </c>
      <c r="E80" s="4" t="s">
        <v>16</v>
      </c>
      <c r="F80" s="5">
        <v>44789</v>
      </c>
      <c r="G80" s="4" t="s">
        <v>9</v>
      </c>
      <c r="H80" s="6">
        <v>114180</v>
      </c>
    </row>
    <row r="81" spans="2:8" x14ac:dyDescent="0.3">
      <c r="B81" s="4" t="s">
        <v>189</v>
      </c>
      <c r="C81" s="4" t="s">
        <v>8</v>
      </c>
      <c r="D81" s="4">
        <v>28</v>
      </c>
      <c r="E81" s="4" t="s">
        <v>16</v>
      </c>
      <c r="F81" s="5">
        <v>44590</v>
      </c>
      <c r="G81" s="4" t="s">
        <v>9</v>
      </c>
      <c r="H81" s="6">
        <v>104120</v>
      </c>
    </row>
    <row r="82" spans="2:8" x14ac:dyDescent="0.3">
      <c r="B82" s="4" t="s">
        <v>138</v>
      </c>
      <c r="C82" s="4" t="s">
        <v>15</v>
      </c>
      <c r="D82" s="4">
        <v>30</v>
      </c>
      <c r="E82" s="4" t="s">
        <v>16</v>
      </c>
      <c r="F82" s="5">
        <v>44640</v>
      </c>
      <c r="G82" s="4" t="s">
        <v>9</v>
      </c>
      <c r="H82" s="6">
        <v>67950</v>
      </c>
    </row>
    <row r="83" spans="2:8" x14ac:dyDescent="0.3">
      <c r="B83" s="4" t="s">
        <v>137</v>
      </c>
      <c r="C83" s="4" t="s">
        <v>8</v>
      </c>
      <c r="D83" s="4">
        <v>29</v>
      </c>
      <c r="E83" s="4" t="s">
        <v>16</v>
      </c>
      <c r="F83" s="5">
        <v>43962</v>
      </c>
      <c r="G83" s="4" t="s">
        <v>12</v>
      </c>
      <c r="H83" s="6">
        <v>34980</v>
      </c>
    </row>
    <row r="84" spans="2:8" x14ac:dyDescent="0.3">
      <c r="B84" s="4" t="s">
        <v>153</v>
      </c>
      <c r="C84" s="4" t="s">
        <v>8</v>
      </c>
      <c r="D84" s="4">
        <v>24</v>
      </c>
      <c r="E84" s="4" t="s">
        <v>16</v>
      </c>
      <c r="F84" s="5">
        <v>44087</v>
      </c>
      <c r="G84" s="4" t="s">
        <v>12</v>
      </c>
      <c r="H84" s="6">
        <v>62780</v>
      </c>
    </row>
    <row r="85" spans="2:8" x14ac:dyDescent="0.3">
      <c r="B85" s="4" t="s">
        <v>117</v>
      </c>
      <c r="C85" s="4" t="s">
        <v>15</v>
      </c>
      <c r="D85" s="4">
        <v>20</v>
      </c>
      <c r="E85" s="4" t="s">
        <v>16</v>
      </c>
      <c r="F85" s="5">
        <v>44397</v>
      </c>
      <c r="G85" s="4" t="s">
        <v>12</v>
      </c>
      <c r="H85" s="6">
        <v>107700</v>
      </c>
    </row>
    <row r="86" spans="2:8" x14ac:dyDescent="0.3">
      <c r="B86" s="4" t="s">
        <v>168</v>
      </c>
      <c r="C86" s="4" t="s">
        <v>15</v>
      </c>
      <c r="D86" s="4">
        <v>25</v>
      </c>
      <c r="E86" s="4" t="s">
        <v>16</v>
      </c>
      <c r="F86" s="5">
        <v>44322</v>
      </c>
      <c r="G86" s="4" t="s">
        <v>19</v>
      </c>
      <c r="H86" s="6">
        <v>65700</v>
      </c>
    </row>
    <row r="87" spans="2:8" x14ac:dyDescent="0.3">
      <c r="B87" s="4" t="s">
        <v>135</v>
      </c>
      <c r="C87" s="4" t="s">
        <v>8</v>
      </c>
      <c r="D87" s="4">
        <v>33</v>
      </c>
      <c r="E87" s="4" t="s">
        <v>42</v>
      </c>
      <c r="F87" s="5">
        <v>44313</v>
      </c>
      <c r="G87" s="4" t="s">
        <v>12</v>
      </c>
      <c r="H87" s="6">
        <v>75480</v>
      </c>
    </row>
    <row r="88" spans="2:8" x14ac:dyDescent="0.3">
      <c r="B88" s="4" t="s">
        <v>174</v>
      </c>
      <c r="C88" s="4" t="s">
        <v>15</v>
      </c>
      <c r="D88" s="4">
        <v>33</v>
      </c>
      <c r="E88" s="4" t="s">
        <v>16</v>
      </c>
      <c r="F88" s="5">
        <v>44448</v>
      </c>
      <c r="G88" s="4" t="s">
        <v>12</v>
      </c>
      <c r="H88" s="6">
        <v>53870</v>
      </c>
    </row>
    <row r="89" spans="2:8" x14ac:dyDescent="0.3">
      <c r="B89" s="4" t="s">
        <v>141</v>
      </c>
      <c r="C89" s="4" t="s">
        <v>8</v>
      </c>
      <c r="D89" s="4">
        <v>36</v>
      </c>
      <c r="E89" s="4" t="s">
        <v>16</v>
      </c>
      <c r="F89" s="5">
        <v>44433</v>
      </c>
      <c r="G89" s="4" t="s">
        <v>19</v>
      </c>
      <c r="H89" s="6">
        <v>78540</v>
      </c>
    </row>
    <row r="90" spans="2:8" x14ac:dyDescent="0.3">
      <c r="B90" s="4" t="s">
        <v>193</v>
      </c>
      <c r="C90" s="4" t="s">
        <v>15</v>
      </c>
      <c r="D90" s="4">
        <v>19</v>
      </c>
      <c r="E90" s="4" t="s">
        <v>16</v>
      </c>
      <c r="F90" s="5">
        <v>44218</v>
      </c>
      <c r="G90" s="4" t="s">
        <v>9</v>
      </c>
      <c r="H90" s="6">
        <v>58960</v>
      </c>
    </row>
    <row r="91" spans="2:8" x14ac:dyDescent="0.3">
      <c r="B91" s="4" t="s">
        <v>162</v>
      </c>
      <c r="C91" s="4" t="s">
        <v>15</v>
      </c>
      <c r="D91" s="4">
        <v>46</v>
      </c>
      <c r="E91" s="4" t="s">
        <v>16</v>
      </c>
      <c r="F91" s="5">
        <v>44697</v>
      </c>
      <c r="G91" s="4" t="s">
        <v>9</v>
      </c>
      <c r="H91" s="6">
        <v>70610</v>
      </c>
    </row>
    <row r="92" spans="2:8" x14ac:dyDescent="0.3">
      <c r="B92" s="4" t="s">
        <v>171</v>
      </c>
      <c r="C92" s="4" t="s">
        <v>15</v>
      </c>
      <c r="D92" s="4">
        <v>33</v>
      </c>
      <c r="E92" s="4" t="s">
        <v>16</v>
      </c>
      <c r="F92" s="5">
        <v>44181</v>
      </c>
      <c r="G92" s="4" t="s">
        <v>21</v>
      </c>
      <c r="H92" s="6">
        <v>59430</v>
      </c>
    </row>
    <row r="93" spans="2:8" x14ac:dyDescent="0.3">
      <c r="B93" s="4" t="s">
        <v>144</v>
      </c>
      <c r="C93" s="4" t="s">
        <v>15</v>
      </c>
      <c r="D93" s="4">
        <v>33</v>
      </c>
      <c r="E93" s="4" t="s">
        <v>13</v>
      </c>
      <c r="F93" s="5">
        <v>44640</v>
      </c>
      <c r="G93" s="4" t="s">
        <v>9</v>
      </c>
      <c r="H93" s="6">
        <v>48530</v>
      </c>
    </row>
    <row r="94" spans="2:8" x14ac:dyDescent="0.3">
      <c r="B94" s="4" t="s">
        <v>163</v>
      </c>
      <c r="C94" s="4" t="s">
        <v>8</v>
      </c>
      <c r="D94" s="4">
        <v>33</v>
      </c>
      <c r="E94" s="4" t="s">
        <v>16</v>
      </c>
      <c r="F94" s="5">
        <v>44129</v>
      </c>
      <c r="G94" s="4" t="s">
        <v>12</v>
      </c>
      <c r="H94" s="6">
        <v>96140</v>
      </c>
    </row>
    <row r="95" spans="2:8" x14ac:dyDescent="0.3">
      <c r="B95" s="4" t="s">
        <v>156</v>
      </c>
      <c r="C95" s="4" t="s">
        <v>15</v>
      </c>
      <c r="D95" s="4">
        <v>20</v>
      </c>
      <c r="E95" s="4" t="s">
        <v>16</v>
      </c>
      <c r="F95" s="5">
        <v>44122</v>
      </c>
      <c r="G95" s="4" t="s">
        <v>12</v>
      </c>
      <c r="H95" s="6">
        <v>112650</v>
      </c>
    </row>
    <row r="96" spans="2:8" x14ac:dyDescent="0.3">
      <c r="B96" s="4" t="s">
        <v>176</v>
      </c>
      <c r="C96" s="4" t="s">
        <v>8</v>
      </c>
      <c r="D96" s="4">
        <v>32</v>
      </c>
      <c r="E96" s="4" t="s">
        <v>13</v>
      </c>
      <c r="F96" s="5">
        <v>44293</v>
      </c>
      <c r="G96" s="4" t="s">
        <v>12</v>
      </c>
      <c r="H96" s="6">
        <v>43840</v>
      </c>
    </row>
    <row r="97" spans="2:8" x14ac:dyDescent="0.3">
      <c r="B97" s="4" t="s">
        <v>143</v>
      </c>
      <c r="C97" s="4" t="s">
        <v>15</v>
      </c>
      <c r="D97" s="4">
        <v>31</v>
      </c>
      <c r="E97" s="4" t="s">
        <v>16</v>
      </c>
      <c r="F97" s="5">
        <v>44663</v>
      </c>
      <c r="G97" s="4" t="s">
        <v>9</v>
      </c>
      <c r="H97" s="6">
        <v>103550</v>
      </c>
    </row>
    <row r="98" spans="2:8" x14ac:dyDescent="0.3">
      <c r="B98" s="4" t="s">
        <v>201</v>
      </c>
      <c r="C98" s="4" t="s">
        <v>8</v>
      </c>
      <c r="D98" s="4">
        <v>32</v>
      </c>
      <c r="E98" s="4" t="s">
        <v>16</v>
      </c>
      <c r="F98" s="5">
        <v>44339</v>
      </c>
      <c r="G98" s="4" t="s">
        <v>56</v>
      </c>
      <c r="H98" s="6">
        <v>45510</v>
      </c>
    </row>
    <row r="99" spans="2:8" x14ac:dyDescent="0.3">
      <c r="B99" s="4" t="s">
        <v>142</v>
      </c>
      <c r="C99" s="4"/>
      <c r="D99" s="4">
        <v>37</v>
      </c>
      <c r="E99" s="4" t="s">
        <v>24</v>
      </c>
      <c r="F99" s="5">
        <v>44085</v>
      </c>
      <c r="G99" s="4" t="s">
        <v>21</v>
      </c>
      <c r="H99" s="6">
        <v>115440</v>
      </c>
    </row>
    <row r="100" spans="2:8" x14ac:dyDescent="0.3">
      <c r="B100" s="4" t="s">
        <v>202</v>
      </c>
      <c r="C100" s="4" t="s">
        <v>8</v>
      </c>
      <c r="D100" s="4">
        <v>38</v>
      </c>
      <c r="E100" s="4" t="s">
        <v>13</v>
      </c>
      <c r="F100" s="5">
        <v>44268</v>
      </c>
      <c r="G100" s="4" t="s">
        <v>19</v>
      </c>
      <c r="H100" s="6">
        <v>56870</v>
      </c>
    </row>
    <row r="101" spans="2:8" x14ac:dyDescent="0.3">
      <c r="B101" s="4" t="s">
        <v>169</v>
      </c>
      <c r="C101" s="4" t="s">
        <v>8</v>
      </c>
      <c r="D101" s="4">
        <v>25</v>
      </c>
      <c r="E101" s="4" t="s">
        <v>16</v>
      </c>
      <c r="F101" s="5">
        <v>44144</v>
      </c>
      <c r="G101" s="4" t="s">
        <v>19</v>
      </c>
      <c r="H101" s="6">
        <v>92700</v>
      </c>
    </row>
    <row r="102" spans="2:8" x14ac:dyDescent="0.3">
      <c r="B102" s="4" t="s">
        <v>145</v>
      </c>
      <c r="C102" s="4"/>
      <c r="D102" s="4">
        <v>32</v>
      </c>
      <c r="E102" s="4" t="s">
        <v>16</v>
      </c>
      <c r="F102" s="5">
        <v>44713</v>
      </c>
      <c r="G102" s="4" t="s">
        <v>12</v>
      </c>
      <c r="H102" s="6">
        <v>91310</v>
      </c>
    </row>
    <row r="103" spans="2:8" x14ac:dyDescent="0.3">
      <c r="B103" s="4" t="s">
        <v>115</v>
      </c>
      <c r="C103" s="4" t="s">
        <v>15</v>
      </c>
      <c r="D103" s="4">
        <v>33</v>
      </c>
      <c r="E103" s="4" t="s">
        <v>16</v>
      </c>
      <c r="F103" s="5">
        <v>44324</v>
      </c>
      <c r="G103" s="4" t="s">
        <v>19</v>
      </c>
      <c r="H103" s="6">
        <v>74550</v>
      </c>
    </row>
    <row r="104" spans="2:8" x14ac:dyDescent="0.3">
      <c r="B104" s="4" t="s">
        <v>128</v>
      </c>
      <c r="C104" s="4" t="s">
        <v>15</v>
      </c>
      <c r="D104" s="4">
        <v>25</v>
      </c>
      <c r="E104" s="4" t="s">
        <v>13</v>
      </c>
      <c r="F104" s="5">
        <v>44665</v>
      </c>
      <c r="G104" s="4" t="s">
        <v>9</v>
      </c>
      <c r="H104" s="6">
        <v>109190</v>
      </c>
    </row>
    <row r="105" spans="2:8" x14ac:dyDescent="0.3">
      <c r="B105" s="4" t="s">
        <v>194</v>
      </c>
      <c r="C105" s="4" t="s">
        <v>8</v>
      </c>
      <c r="D105" s="4">
        <v>40</v>
      </c>
      <c r="E105" s="4" t="s">
        <v>16</v>
      </c>
      <c r="F105" s="5">
        <v>44320</v>
      </c>
      <c r="G105" s="4" t="s">
        <v>12</v>
      </c>
      <c r="H105" s="6">
        <v>104410</v>
      </c>
    </row>
    <row r="106" spans="2:8" x14ac:dyDescent="0.3">
      <c r="B106" s="4" t="s">
        <v>177</v>
      </c>
      <c r="C106" s="4" t="s">
        <v>15</v>
      </c>
      <c r="D106" s="4">
        <v>30</v>
      </c>
      <c r="E106" s="4" t="s">
        <v>16</v>
      </c>
      <c r="F106" s="5">
        <v>44544</v>
      </c>
      <c r="G106" s="4" t="s">
        <v>21</v>
      </c>
      <c r="H106" s="6">
        <v>96800</v>
      </c>
    </row>
    <row r="107" spans="2:8" x14ac:dyDescent="0.3">
      <c r="B107" s="4" t="s">
        <v>123</v>
      </c>
      <c r="C107" s="4" t="s">
        <v>15</v>
      </c>
      <c r="D107" s="4">
        <v>28</v>
      </c>
      <c r="E107" s="4" t="s">
        <v>13</v>
      </c>
      <c r="F107" s="5">
        <v>43980</v>
      </c>
      <c r="G107" s="4" t="s">
        <v>21</v>
      </c>
      <c r="H107" s="6">
        <v>48170</v>
      </c>
    </row>
    <row r="108" spans="2:8" x14ac:dyDescent="0.3">
      <c r="B108" s="4" t="s">
        <v>140</v>
      </c>
      <c r="C108" s="4" t="s">
        <v>15</v>
      </c>
      <c r="D108" s="4">
        <v>21</v>
      </c>
      <c r="E108" s="4" t="s">
        <v>16</v>
      </c>
      <c r="F108" s="5">
        <v>44042</v>
      </c>
      <c r="G108" s="4" t="s">
        <v>9</v>
      </c>
      <c r="H108" s="6">
        <v>37920</v>
      </c>
    </row>
    <row r="109" spans="2:8" x14ac:dyDescent="0.3">
      <c r="B109" s="4" t="s">
        <v>178</v>
      </c>
      <c r="C109" s="4" t="s">
        <v>15</v>
      </c>
      <c r="D109" s="4">
        <v>34</v>
      </c>
      <c r="E109" s="4" t="s">
        <v>16</v>
      </c>
      <c r="F109" s="5">
        <v>44642</v>
      </c>
      <c r="G109" s="4" t="s">
        <v>9</v>
      </c>
      <c r="H109" s="6">
        <v>112650</v>
      </c>
    </row>
    <row r="110" spans="2:8" x14ac:dyDescent="0.3">
      <c r="B110" s="4" t="s">
        <v>165</v>
      </c>
      <c r="C110" s="4" t="s">
        <v>8</v>
      </c>
      <c r="D110" s="4">
        <v>34</v>
      </c>
      <c r="E110" s="4" t="s">
        <v>24</v>
      </c>
      <c r="F110" s="5">
        <v>44660</v>
      </c>
      <c r="G110" s="4" t="s">
        <v>19</v>
      </c>
      <c r="H110" s="6">
        <v>49630</v>
      </c>
    </row>
    <row r="111" spans="2:8" x14ac:dyDescent="0.3">
      <c r="B111" s="4" t="s">
        <v>199</v>
      </c>
      <c r="C111" s="4" t="s">
        <v>15</v>
      </c>
      <c r="D111" s="4">
        <v>36</v>
      </c>
      <c r="E111" s="4" t="s">
        <v>16</v>
      </c>
      <c r="F111" s="5">
        <v>43958</v>
      </c>
      <c r="G111" s="4" t="s">
        <v>12</v>
      </c>
      <c r="H111" s="6">
        <v>118840</v>
      </c>
    </row>
    <row r="112" spans="2:8" x14ac:dyDescent="0.3">
      <c r="B112" s="4" t="s">
        <v>159</v>
      </c>
      <c r="C112" s="4" t="s">
        <v>15</v>
      </c>
      <c r="D112" s="4">
        <v>30</v>
      </c>
      <c r="E112" s="4" t="s">
        <v>16</v>
      </c>
      <c r="F112" s="5">
        <v>44789</v>
      </c>
      <c r="G112" s="4" t="s">
        <v>12</v>
      </c>
      <c r="H112" s="6">
        <v>69710</v>
      </c>
    </row>
    <row r="113" spans="2:8" x14ac:dyDescent="0.3">
      <c r="B113" s="4" t="s">
        <v>197</v>
      </c>
      <c r="C113" s="4" t="s">
        <v>15</v>
      </c>
      <c r="D113" s="4">
        <v>20</v>
      </c>
      <c r="E113" s="4" t="s">
        <v>16</v>
      </c>
      <c r="F113" s="5">
        <v>44683</v>
      </c>
      <c r="G113" s="4" t="s">
        <v>9</v>
      </c>
      <c r="H113" s="6">
        <v>79570</v>
      </c>
    </row>
    <row r="114" spans="2:8" x14ac:dyDescent="0.3">
      <c r="B114" s="4" t="s">
        <v>154</v>
      </c>
      <c r="C114" s="4" t="s">
        <v>8</v>
      </c>
      <c r="D114" s="4">
        <v>22</v>
      </c>
      <c r="E114" s="4" t="s">
        <v>13</v>
      </c>
      <c r="F114" s="5">
        <v>44388</v>
      </c>
      <c r="G114" s="4" t="s">
        <v>9</v>
      </c>
      <c r="H114" s="6">
        <v>76900</v>
      </c>
    </row>
    <row r="115" spans="2:8" x14ac:dyDescent="0.3">
      <c r="B115" s="4">
        <f>SUBTOTAL(103,India_Staff[Name])</f>
        <v>112</v>
      </c>
      <c r="C115" s="4"/>
      <c r="D115" s="4">
        <f>SUBTOTAL(101,India_Staff[Age])</f>
        <v>30.375</v>
      </c>
      <c r="E115" s="4"/>
      <c r="F115" s="4"/>
      <c r="G115" s="4"/>
      <c r="H115" s="6">
        <f>SUBTOTAL(101,India_Staff[Salary])</f>
        <v>78195.803571428565</v>
      </c>
    </row>
  </sheetData>
  <conditionalFormatting sqref="B3:B114">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E9E06-F989-4418-AC0F-18A26F8BAC71}">
  <sheetPr>
    <tabColor rgb="FFFFFF00"/>
  </sheetPr>
  <dimension ref="A1:Q184"/>
  <sheetViews>
    <sheetView showGridLines="0" tabSelected="1" topLeftCell="A10" zoomScale="85" zoomScaleNormal="85" workbookViewId="0">
      <selection activeCell="I30" sqref="I30"/>
    </sheetView>
  </sheetViews>
  <sheetFormatPr defaultRowHeight="14.4" x14ac:dyDescent="0.3"/>
  <cols>
    <col min="1" max="1" width="28.109375" style="4" bestFit="1" customWidth="1"/>
    <col min="2" max="2" width="12.6640625" style="4" bestFit="1" customWidth="1"/>
    <col min="3" max="3" width="17" style="4" bestFit="1" customWidth="1"/>
    <col min="4" max="4" width="9.5546875" style="4" bestFit="1" customWidth="1"/>
    <col min="5" max="5" width="16.5546875" style="4" bestFit="1" customWidth="1"/>
    <col min="6" max="6" width="12.88671875" style="4" bestFit="1" customWidth="1"/>
    <col min="7" max="7" width="13.5546875" style="4" bestFit="1" customWidth="1"/>
    <col min="8" max="8" width="13.33203125" style="4" bestFit="1" customWidth="1"/>
    <col min="9" max="9" width="12.44140625" style="4" bestFit="1" customWidth="1"/>
    <col min="10" max="10" width="11.6640625" style="4" bestFit="1" customWidth="1"/>
    <col min="11" max="11" width="22.44140625" style="4" bestFit="1" customWidth="1"/>
    <col min="12" max="12" width="13.6640625" style="4" bestFit="1" customWidth="1"/>
    <col min="13" max="13" width="11.5546875" style="4" bestFit="1" customWidth="1"/>
    <col min="14" max="14" width="26.44140625" style="4" bestFit="1" customWidth="1"/>
    <col min="15" max="15" width="18.6640625" style="4" bestFit="1" customWidth="1"/>
    <col min="16" max="16" width="10.5546875" style="4" bestFit="1" customWidth="1"/>
    <col min="17" max="17" width="10.21875" style="4" customWidth="1"/>
    <col min="18" max="18" width="2.77734375" style="4" bestFit="1" customWidth="1"/>
    <col min="19" max="19" width="12" style="4" bestFit="1" customWidth="1"/>
    <col min="20" max="16384" width="8.88671875" style="4"/>
  </cols>
  <sheetData>
    <row r="1" spans="1:17" x14ac:dyDescent="0.3">
      <c r="A1" s="4" t="s">
        <v>0</v>
      </c>
      <c r="B1" s="4" t="s">
        <v>1</v>
      </c>
      <c r="C1" s="4" t="s">
        <v>2</v>
      </c>
      <c r="D1" s="4" t="s">
        <v>3</v>
      </c>
      <c r="E1" s="4" t="s">
        <v>4</v>
      </c>
      <c r="F1" s="6" t="s">
        <v>5</v>
      </c>
      <c r="G1" s="4" t="s">
        <v>6</v>
      </c>
      <c r="H1" s="4" t="s">
        <v>204</v>
      </c>
      <c r="I1" s="4" t="s">
        <v>208</v>
      </c>
      <c r="J1" s="4" t="s">
        <v>229</v>
      </c>
      <c r="K1" s="4" t="s">
        <v>231</v>
      </c>
    </row>
    <row r="2" spans="1:17" x14ac:dyDescent="0.3">
      <c r="A2" s="4" t="s">
        <v>86</v>
      </c>
      <c r="B2" s="4" t="s">
        <v>8</v>
      </c>
      <c r="C2" s="4" t="s">
        <v>12</v>
      </c>
      <c r="D2" s="4">
        <v>21</v>
      </c>
      <c r="E2" s="10">
        <v>44678</v>
      </c>
      <c r="F2" s="6">
        <v>33920</v>
      </c>
      <c r="G2" s="4" t="s">
        <v>16</v>
      </c>
      <c r="H2" s="4" t="s">
        <v>205</v>
      </c>
      <c r="I2" s="11">
        <f ca="1">(TODAY()-staff[[#This Row],[Date Joined]])/365</f>
        <v>4.2246575342465755</v>
      </c>
      <c r="J2" s="29">
        <f ca="1">ROUNDUP(IF(staff[[#This Row],[Tenure]]&gt;2,3%,2%)*staff[[#This Row],[Salary]],0)</f>
        <v>1018</v>
      </c>
      <c r="K2" s="4">
        <f>_xlfn.XLOOKUP(staff[[#This Row],[Rating]],'Rating map table'!A$2:A$6,'Rating map table'!B$2:B$6)</f>
        <v>3</v>
      </c>
    </row>
    <row r="3" spans="1:17" x14ac:dyDescent="0.3">
      <c r="A3" s="4" t="s">
        <v>179</v>
      </c>
      <c r="B3" s="4" t="s">
        <v>8</v>
      </c>
      <c r="C3" s="4" t="s">
        <v>12</v>
      </c>
      <c r="D3" s="4">
        <v>21</v>
      </c>
      <c r="E3" s="10">
        <v>44619</v>
      </c>
      <c r="F3" s="6">
        <v>33920</v>
      </c>
      <c r="G3" s="4" t="s">
        <v>16</v>
      </c>
      <c r="H3" s="4" t="s">
        <v>207</v>
      </c>
      <c r="I3" s="11">
        <f ca="1">(TODAY()-staff[[#This Row],[Date Joined]])/365</f>
        <v>4.3863013698630136</v>
      </c>
      <c r="J3" s="29">
        <f ca="1">ROUNDUP(IF(staff[[#This Row],[Tenure]]&gt;2,3%,2%)*staff[[#This Row],[Salary]],0)</f>
        <v>1018</v>
      </c>
      <c r="K3" s="4">
        <f>_xlfn.XLOOKUP(staff[[#This Row],[Rating]],'Rating map table'!A$2:A$6,'Rating map table'!B$2:B$6)</f>
        <v>3</v>
      </c>
    </row>
    <row r="4" spans="1:17" x14ac:dyDescent="0.3">
      <c r="A4" s="4" t="s">
        <v>44</v>
      </c>
      <c r="B4" s="4" t="s">
        <v>8</v>
      </c>
      <c r="C4" s="4" t="s">
        <v>12</v>
      </c>
      <c r="D4" s="4">
        <v>29</v>
      </c>
      <c r="E4" s="10">
        <v>44023</v>
      </c>
      <c r="F4" s="6">
        <v>34980</v>
      </c>
      <c r="G4" s="4" t="s">
        <v>16</v>
      </c>
      <c r="H4" s="4" t="s">
        <v>205</v>
      </c>
      <c r="I4" s="11">
        <f ca="1">(TODAY()-staff[[#This Row],[Date Joined]])/365</f>
        <v>6.0191780821917806</v>
      </c>
      <c r="J4" s="29">
        <f ca="1">ROUNDUP(IF(staff[[#This Row],[Tenure]]&gt;2,3%,2%)*staff[[#This Row],[Salary]],0)</f>
        <v>1050</v>
      </c>
      <c r="K4" s="4">
        <f>_xlfn.XLOOKUP(staff[[#This Row],[Rating]],'Rating map table'!A$2:A$6,'Rating map table'!B$2:B$6)</f>
        <v>3</v>
      </c>
    </row>
    <row r="5" spans="1:17" x14ac:dyDescent="0.3">
      <c r="A5" s="4" t="s">
        <v>137</v>
      </c>
      <c r="B5" s="4" t="s">
        <v>8</v>
      </c>
      <c r="C5" s="4" t="s">
        <v>12</v>
      </c>
      <c r="D5" s="4">
        <v>29</v>
      </c>
      <c r="E5" s="10">
        <v>43962</v>
      </c>
      <c r="F5" s="6">
        <v>34980</v>
      </c>
      <c r="G5" s="4" t="s">
        <v>16</v>
      </c>
      <c r="H5" s="4" t="s">
        <v>207</v>
      </c>
      <c r="I5" s="11">
        <f ca="1">(TODAY()-staff[[#This Row],[Date Joined]])/365</f>
        <v>6.1863013698630134</v>
      </c>
      <c r="J5" s="29">
        <f ca="1">ROUNDUP(IF(staff[[#This Row],[Tenure]]&gt;2,3%,2%)*staff[[#This Row],[Salary]],0)</f>
        <v>1050</v>
      </c>
      <c r="K5" s="4">
        <f>_xlfn.XLOOKUP(staff[[#This Row],[Rating]],'Rating map table'!A$2:A$6,'Rating map table'!B$2:B$6)</f>
        <v>3</v>
      </c>
    </row>
    <row r="6" spans="1:17" x14ac:dyDescent="0.3">
      <c r="A6" s="4" t="s">
        <v>99</v>
      </c>
      <c r="B6" s="4" t="s">
        <v>15</v>
      </c>
      <c r="C6" s="4" t="s">
        <v>19</v>
      </c>
      <c r="D6" s="4">
        <v>43</v>
      </c>
      <c r="E6" s="10">
        <v>44620</v>
      </c>
      <c r="F6" s="6">
        <v>36040</v>
      </c>
      <c r="G6" s="4" t="s">
        <v>16</v>
      </c>
      <c r="H6" s="4" t="s">
        <v>205</v>
      </c>
      <c r="I6" s="11">
        <f ca="1">(TODAY()-staff[[#This Row],[Date Joined]])/365</f>
        <v>4.3835616438356162</v>
      </c>
      <c r="J6" s="29">
        <f ca="1">ROUNDUP(IF(staff[[#This Row],[Tenure]]&gt;2,3%,2%)*staff[[#This Row],[Salary]],0)</f>
        <v>1082</v>
      </c>
      <c r="K6" s="4">
        <f>_xlfn.XLOOKUP(staff[[#This Row],[Rating]],'Rating map table'!A$2:A$6,'Rating map table'!B$2:B$6)</f>
        <v>3</v>
      </c>
    </row>
    <row r="7" spans="1:17" x14ac:dyDescent="0.3">
      <c r="A7" s="4" t="s">
        <v>192</v>
      </c>
      <c r="B7" s="4" t="s">
        <v>15</v>
      </c>
      <c r="C7" s="4" t="s">
        <v>19</v>
      </c>
      <c r="D7" s="4">
        <v>43</v>
      </c>
      <c r="E7" s="10">
        <v>44558</v>
      </c>
      <c r="F7" s="6">
        <v>36040</v>
      </c>
      <c r="G7" s="4" t="s">
        <v>16</v>
      </c>
      <c r="H7" s="4" t="s">
        <v>207</v>
      </c>
      <c r="I7" s="11">
        <f ca="1">(TODAY()-staff[[#This Row],[Date Joined]])/365</f>
        <v>4.5534246575342463</v>
      </c>
      <c r="J7" s="29">
        <f ca="1">ROUNDUP(IF(staff[[#This Row],[Tenure]]&gt;2,3%,2%)*staff[[#This Row],[Salary]],0)</f>
        <v>1082</v>
      </c>
      <c r="K7" s="4">
        <f>_xlfn.XLOOKUP(staff[[#This Row],[Rating]],'Rating map table'!A$2:A$6,'Rating map table'!B$2:B$6)</f>
        <v>3</v>
      </c>
    </row>
    <row r="8" spans="1:17" x14ac:dyDescent="0.3">
      <c r="A8" s="4" t="s">
        <v>47</v>
      </c>
      <c r="B8" s="4" t="s">
        <v>15</v>
      </c>
      <c r="C8" s="4" t="s">
        <v>9</v>
      </c>
      <c r="D8" s="4">
        <v>21</v>
      </c>
      <c r="E8" s="10">
        <v>44104</v>
      </c>
      <c r="F8" s="6">
        <v>37920</v>
      </c>
      <c r="G8" s="4" t="s">
        <v>16</v>
      </c>
      <c r="H8" s="4" t="s">
        <v>205</v>
      </c>
      <c r="I8" s="11">
        <f ca="1">(TODAY()-staff[[#This Row],[Date Joined]])/365</f>
        <v>5.7972602739726025</v>
      </c>
      <c r="J8" s="29">
        <f ca="1">ROUNDUP(IF(staff[[#This Row],[Tenure]]&gt;2,3%,2%)*staff[[#This Row],[Salary]],0)</f>
        <v>1138</v>
      </c>
      <c r="K8" s="4">
        <f>_xlfn.XLOOKUP(staff[[#This Row],[Rating]],'Rating map table'!A$2:A$6,'Rating map table'!B$2:B$6)</f>
        <v>3</v>
      </c>
    </row>
    <row r="9" spans="1:17" ht="21" x14ac:dyDescent="0.3">
      <c r="A9" s="4" t="s">
        <v>140</v>
      </c>
      <c r="B9" s="4" t="s">
        <v>15</v>
      </c>
      <c r="C9" s="4" t="s">
        <v>9</v>
      </c>
      <c r="D9" s="4">
        <v>21</v>
      </c>
      <c r="E9" s="10">
        <v>44042</v>
      </c>
      <c r="F9" s="6">
        <v>37920</v>
      </c>
      <c r="G9" s="4" t="s">
        <v>16</v>
      </c>
      <c r="H9" s="4" t="s">
        <v>207</v>
      </c>
      <c r="I9" s="11">
        <f ca="1">(TODAY()-staff[[#This Row],[Date Joined]])/365</f>
        <v>5.9671232876712326</v>
      </c>
      <c r="J9" s="29">
        <f ca="1">ROUNDUP(IF(staff[[#This Row],[Tenure]]&gt;2,3%,2%)*staff[[#This Row],[Salary]],0)</f>
        <v>1138</v>
      </c>
      <c r="K9" s="4">
        <f>_xlfn.XLOOKUP(staff[[#This Row],[Rating]],'Rating map table'!A$2:A$6,'Rating map table'!B$2:B$6)</f>
        <v>3</v>
      </c>
      <c r="M9" s="46"/>
      <c r="N9" s="46"/>
      <c r="O9" s="46"/>
      <c r="P9" s="46"/>
      <c r="Q9" s="46"/>
    </row>
    <row r="10" spans="1:17" ht="21" x14ac:dyDescent="0.3">
      <c r="A10" s="4" t="s">
        <v>57</v>
      </c>
      <c r="B10" s="4" t="s">
        <v>15</v>
      </c>
      <c r="C10" s="4" t="s">
        <v>9</v>
      </c>
      <c r="D10" s="4">
        <v>35</v>
      </c>
      <c r="E10" s="10">
        <v>44727</v>
      </c>
      <c r="F10" s="6">
        <v>40400</v>
      </c>
      <c r="G10" s="4" t="s">
        <v>16</v>
      </c>
      <c r="H10" s="4" t="s">
        <v>205</v>
      </c>
      <c r="I10" s="11">
        <f ca="1">(TODAY()-staff[[#This Row],[Date Joined]])/365</f>
        <v>4.0904109589041093</v>
      </c>
      <c r="J10" s="29">
        <f ca="1">ROUNDUP(IF(staff[[#This Row],[Tenure]]&gt;2,3%,2%)*staff[[#This Row],[Salary]],0)</f>
        <v>1212</v>
      </c>
      <c r="K10" s="4">
        <f>_xlfn.XLOOKUP(staff[[#This Row],[Rating]],'Rating map table'!A$2:A$6,'Rating map table'!B$2:B$6)</f>
        <v>3</v>
      </c>
      <c r="M10" s="46"/>
      <c r="N10" s="46"/>
      <c r="O10" s="46"/>
      <c r="P10" s="46"/>
      <c r="Q10" s="46"/>
    </row>
    <row r="11" spans="1:17" ht="21" x14ac:dyDescent="0.3">
      <c r="A11" s="4" t="s">
        <v>149</v>
      </c>
      <c r="B11" s="4" t="s">
        <v>15</v>
      </c>
      <c r="C11" s="4" t="s">
        <v>9</v>
      </c>
      <c r="D11" s="4">
        <v>35</v>
      </c>
      <c r="E11" s="10">
        <v>44666</v>
      </c>
      <c r="F11" s="6">
        <v>40400</v>
      </c>
      <c r="G11" s="4" t="s">
        <v>16</v>
      </c>
      <c r="H11" s="4" t="s">
        <v>207</v>
      </c>
      <c r="I11" s="11">
        <f ca="1">(TODAY()-staff[[#This Row],[Date Joined]])/365</f>
        <v>4.2575342465753421</v>
      </c>
      <c r="J11" s="29">
        <f ca="1">ROUNDUP(IF(staff[[#This Row],[Tenure]]&gt;2,3%,2%)*staff[[#This Row],[Salary]],0)</f>
        <v>1212</v>
      </c>
      <c r="K11" s="4">
        <f>_xlfn.XLOOKUP(staff[[#This Row],[Rating]],'Rating map table'!A$2:A$6,'Rating map table'!B$2:B$6)</f>
        <v>3</v>
      </c>
      <c r="M11" s="46"/>
      <c r="N11" s="47" t="s">
        <v>261</v>
      </c>
      <c r="O11" s="47">
        <f>COUNTA(staff[Name])</f>
        <v>183</v>
      </c>
      <c r="P11" s="51" t="s">
        <v>265</v>
      </c>
      <c r="Q11" s="46"/>
    </row>
    <row r="12" spans="1:17" ht="21" x14ac:dyDescent="0.3">
      <c r="A12" s="4" t="s">
        <v>66</v>
      </c>
      <c r="B12" s="4" t="s">
        <v>8</v>
      </c>
      <c r="C12" s="4" t="s">
        <v>9</v>
      </c>
      <c r="D12" s="4">
        <v>32</v>
      </c>
      <c r="E12" s="10">
        <v>44611</v>
      </c>
      <c r="F12" s="6">
        <v>41570</v>
      </c>
      <c r="G12" s="4" t="s">
        <v>16</v>
      </c>
      <c r="H12" s="4" t="s">
        <v>205</v>
      </c>
      <c r="I12" s="11">
        <f ca="1">(TODAY()-staff[[#This Row],[Date Joined]])/365</f>
        <v>4.4082191780821915</v>
      </c>
      <c r="J12" s="29">
        <f ca="1">ROUNDUP(IF(staff[[#This Row],[Tenure]]&gt;2,3%,2%)*staff[[#This Row],[Salary]],0)</f>
        <v>1248</v>
      </c>
      <c r="K12" s="4">
        <f>_xlfn.XLOOKUP(staff[[#This Row],[Rating]],'Rating map table'!A$2:A$6,'Rating map table'!B$2:B$6)</f>
        <v>3</v>
      </c>
      <c r="M12" s="46"/>
      <c r="N12" s="47" t="s">
        <v>217</v>
      </c>
      <c r="O12" s="48">
        <f>AVERAGE(staff[[#All],[Salary]])</f>
        <v>77173.715846994543</v>
      </c>
      <c r="P12" s="51">
        <f>MEDIAN(staff[[#All],[Salary]])</f>
        <v>75000</v>
      </c>
      <c r="Q12" s="46"/>
    </row>
    <row r="13" spans="1:17" ht="21" x14ac:dyDescent="0.3">
      <c r="A13" s="4" t="s">
        <v>158</v>
      </c>
      <c r="B13" s="4" t="s">
        <v>8</v>
      </c>
      <c r="C13" s="4" t="s">
        <v>9</v>
      </c>
      <c r="D13" s="4">
        <v>32</v>
      </c>
      <c r="E13" s="10">
        <v>44549</v>
      </c>
      <c r="F13" s="6">
        <v>41570</v>
      </c>
      <c r="G13" s="4" t="s">
        <v>16</v>
      </c>
      <c r="H13" s="4" t="s">
        <v>207</v>
      </c>
      <c r="I13" s="11">
        <f ca="1">(TODAY()-staff[[#This Row],[Date Joined]])/365</f>
        <v>4.5780821917808217</v>
      </c>
      <c r="J13" s="29">
        <f ca="1">ROUNDUP(IF(staff[[#This Row],[Tenure]]&gt;2,3%,2%)*staff[[#This Row],[Salary]],0)</f>
        <v>1248</v>
      </c>
      <c r="K13" s="4">
        <f>_xlfn.XLOOKUP(staff[[#This Row],[Rating]],'Rating map table'!A$2:A$6,'Rating map table'!B$2:B$6)</f>
        <v>3</v>
      </c>
      <c r="M13" s="46"/>
      <c r="N13" s="47" t="s">
        <v>218</v>
      </c>
      <c r="O13" s="47">
        <f>AVERAGE(staff[[#All],[Age]])</f>
        <v>30.42622950819672</v>
      </c>
      <c r="P13" s="51">
        <f>MEDIAN(staff[[#All],[Age]])</f>
        <v>30</v>
      </c>
      <c r="Q13" s="46"/>
    </row>
    <row r="14" spans="1:17" ht="21" x14ac:dyDescent="0.3">
      <c r="A14" s="4" t="s">
        <v>30</v>
      </c>
      <c r="B14" s="4" t="s">
        <v>8</v>
      </c>
      <c r="C14" s="4" t="s">
        <v>12</v>
      </c>
      <c r="D14" s="4">
        <v>31</v>
      </c>
      <c r="E14" s="10">
        <v>44145</v>
      </c>
      <c r="F14" s="6">
        <v>41980</v>
      </c>
      <c r="G14" s="4" t="s">
        <v>16</v>
      </c>
      <c r="H14" s="4" t="s">
        <v>205</v>
      </c>
      <c r="I14" s="11">
        <f ca="1">(TODAY()-staff[[#This Row],[Date Joined]])/365</f>
        <v>5.6849315068493151</v>
      </c>
      <c r="J14" s="29">
        <f ca="1">ROUNDUP(IF(staff[[#This Row],[Tenure]]&gt;2,3%,2%)*staff[[#This Row],[Salary]],0)</f>
        <v>1260</v>
      </c>
      <c r="K14" s="4">
        <f>_xlfn.XLOOKUP(staff[[#This Row],[Rating]],'Rating map table'!A$2:A$6,'Rating map table'!B$2:B$6)</f>
        <v>3</v>
      </c>
      <c r="M14" s="46"/>
      <c r="N14" s="47" t="s">
        <v>262</v>
      </c>
      <c r="O14" s="47">
        <f ca="1">AVERAGE(staff[[#All],[Tenure]])</f>
        <v>4.8958005838760359</v>
      </c>
      <c r="P14" s="50"/>
      <c r="Q14" s="46"/>
    </row>
    <row r="15" spans="1:17" ht="21" x14ac:dyDescent="0.3">
      <c r="A15" s="4" t="s">
        <v>124</v>
      </c>
      <c r="B15" s="4" t="s">
        <v>8</v>
      </c>
      <c r="C15" s="4" t="s">
        <v>12</v>
      </c>
      <c r="D15" s="4">
        <v>31</v>
      </c>
      <c r="E15" s="10">
        <v>44084</v>
      </c>
      <c r="F15" s="6">
        <v>41980</v>
      </c>
      <c r="G15" s="4" t="s">
        <v>16</v>
      </c>
      <c r="H15" s="4" t="s">
        <v>207</v>
      </c>
      <c r="I15" s="11">
        <f ca="1">(TODAY()-staff[[#This Row],[Date Joined]])/365</f>
        <v>5.8520547945205479</v>
      </c>
      <c r="J15" s="29">
        <f ca="1">ROUNDUP(IF(staff[[#This Row],[Tenure]]&gt;2,3%,2%)*staff[[#This Row],[Salary]],0)</f>
        <v>1260</v>
      </c>
      <c r="K15" s="4">
        <f>_xlfn.XLOOKUP(staff[[#This Row],[Rating]],'Rating map table'!A$2:A$6,'Rating map table'!B$2:B$6)</f>
        <v>3</v>
      </c>
      <c r="M15" s="46"/>
      <c r="N15" s="47" t="s">
        <v>209</v>
      </c>
      <c r="O15" s="47">
        <f>COUNTIF(staff[Gender],"Female")</f>
        <v>86</v>
      </c>
      <c r="P15" s="50"/>
      <c r="Q15" s="46"/>
    </row>
    <row r="16" spans="1:17" ht="21" x14ac:dyDescent="0.3">
      <c r="A16" s="4" t="s">
        <v>80</v>
      </c>
      <c r="B16" s="4" t="s">
        <v>15</v>
      </c>
      <c r="C16" s="4" t="s">
        <v>19</v>
      </c>
      <c r="D16" s="4">
        <v>28</v>
      </c>
      <c r="E16" s="10">
        <v>44820</v>
      </c>
      <c r="F16" s="6">
        <v>43510</v>
      </c>
      <c r="G16" s="4" t="s">
        <v>42</v>
      </c>
      <c r="H16" s="4" t="s">
        <v>205</v>
      </c>
      <c r="I16" s="11">
        <f ca="1">(TODAY()-staff[[#This Row],[Date Joined]])/365</f>
        <v>3.8356164383561642</v>
      </c>
      <c r="J16" s="29">
        <f ca="1">ROUNDUP(IF(staff[[#This Row],[Tenure]]&gt;2,3%,2%)*staff[[#This Row],[Salary]],0)</f>
        <v>1306</v>
      </c>
      <c r="K16" s="4">
        <f>_xlfn.XLOOKUP(staff[[#This Row],[Rating]],'Rating map table'!A$2:A$6,'Rating map table'!B$2:B$6)</f>
        <v>1</v>
      </c>
      <c r="M16" s="46"/>
      <c r="N16" s="47" t="s">
        <v>263</v>
      </c>
      <c r="O16" s="49">
        <f>O15/O11</f>
        <v>0.46994535519125685</v>
      </c>
      <c r="P16" s="50"/>
      <c r="Q16" s="46"/>
    </row>
    <row r="17" spans="1:17" ht="21" x14ac:dyDescent="0.3">
      <c r="A17" s="4" t="s">
        <v>172</v>
      </c>
      <c r="B17" s="4" t="s">
        <v>15</v>
      </c>
      <c r="C17" s="4" t="s">
        <v>19</v>
      </c>
      <c r="D17" s="4">
        <v>28</v>
      </c>
      <c r="E17" s="10">
        <v>44758</v>
      </c>
      <c r="F17" s="6">
        <v>43510</v>
      </c>
      <c r="G17" s="4" t="s">
        <v>42</v>
      </c>
      <c r="H17" s="4" t="s">
        <v>207</v>
      </c>
      <c r="I17" s="11">
        <f ca="1">(TODAY()-staff[[#This Row],[Date Joined]])/365</f>
        <v>4.0054794520547947</v>
      </c>
      <c r="J17" s="29">
        <f ca="1">ROUNDUP(IF(staff[[#This Row],[Tenure]]&gt;2,3%,2%)*staff[[#This Row],[Salary]],0)</f>
        <v>1306</v>
      </c>
      <c r="K17" s="4">
        <f>_xlfn.XLOOKUP(staff[[#This Row],[Rating]],'Rating map table'!A$2:A$6,'Rating map table'!B$2:B$6)</f>
        <v>1</v>
      </c>
      <c r="M17" s="46"/>
      <c r="N17" s="47" t="s">
        <v>264</v>
      </c>
      <c r="O17" s="49">
        <f>(COUNTIF(staff[Salary],"&gt;90000"))/O11</f>
        <v>0.34426229508196721</v>
      </c>
      <c r="P17" s="50"/>
      <c r="Q17" s="46"/>
    </row>
    <row r="18" spans="1:17" ht="21" x14ac:dyDescent="0.3">
      <c r="A18" s="4" t="s">
        <v>84</v>
      </c>
      <c r="B18" s="4" t="s">
        <v>8</v>
      </c>
      <c r="C18" s="4" t="s">
        <v>12</v>
      </c>
      <c r="D18" s="4">
        <v>32</v>
      </c>
      <c r="E18" s="10">
        <v>44354</v>
      </c>
      <c r="F18" s="6">
        <v>43840</v>
      </c>
      <c r="G18" s="4" t="s">
        <v>13</v>
      </c>
      <c r="H18" s="4" t="s">
        <v>205</v>
      </c>
      <c r="I18" s="11">
        <f ca="1">(TODAY()-staff[[#This Row],[Date Joined]])/365</f>
        <v>5.1123287671232873</v>
      </c>
      <c r="J18" s="29">
        <f ca="1">ROUNDUP(IF(staff[[#This Row],[Tenure]]&gt;2,3%,2%)*staff[[#This Row],[Salary]],0)</f>
        <v>1316</v>
      </c>
      <c r="K18" s="4">
        <f>_xlfn.XLOOKUP(staff[[#This Row],[Rating]],'Rating map table'!A$2:A$6,'Rating map table'!B$2:B$6)</f>
        <v>4</v>
      </c>
      <c r="M18" s="46"/>
      <c r="N18" s="46"/>
      <c r="O18" s="46"/>
      <c r="P18" s="46"/>
      <c r="Q18" s="46"/>
    </row>
    <row r="19" spans="1:17" ht="21" x14ac:dyDescent="0.3">
      <c r="A19" s="4" t="s">
        <v>176</v>
      </c>
      <c r="B19" s="4" t="s">
        <v>8</v>
      </c>
      <c r="C19" s="4" t="s">
        <v>12</v>
      </c>
      <c r="D19" s="4">
        <v>32</v>
      </c>
      <c r="E19" s="10">
        <v>44293</v>
      </c>
      <c r="F19" s="6">
        <v>43840</v>
      </c>
      <c r="G19" s="4" t="s">
        <v>13</v>
      </c>
      <c r="H19" s="4" t="s">
        <v>207</v>
      </c>
      <c r="I19" s="11">
        <f ca="1">(TODAY()-staff[[#This Row],[Date Joined]])/365</f>
        <v>5.279452054794521</v>
      </c>
      <c r="J19" s="29">
        <f ca="1">ROUNDUP(IF(staff[[#This Row],[Tenure]]&gt;2,3%,2%)*staff[[#This Row],[Salary]],0)</f>
        <v>1316</v>
      </c>
      <c r="K19" s="4">
        <f>_xlfn.XLOOKUP(staff[[#This Row],[Rating]],'Rating map table'!A$2:A$6,'Rating map table'!B$2:B$6)</f>
        <v>4</v>
      </c>
      <c r="M19" s="46"/>
      <c r="N19" s="46"/>
      <c r="O19" s="46"/>
      <c r="P19" s="46"/>
      <c r="Q19" s="46"/>
    </row>
    <row r="20" spans="1:17" x14ac:dyDescent="0.3">
      <c r="A20" s="4" t="s">
        <v>108</v>
      </c>
      <c r="B20" s="4" t="s">
        <v>8</v>
      </c>
      <c r="C20" s="4" t="s">
        <v>56</v>
      </c>
      <c r="D20" s="4">
        <v>32</v>
      </c>
      <c r="E20" s="10">
        <v>44400</v>
      </c>
      <c r="F20" s="6">
        <v>45510</v>
      </c>
      <c r="G20" s="4" t="s">
        <v>16</v>
      </c>
      <c r="H20" s="4" t="s">
        <v>205</v>
      </c>
      <c r="I20" s="11">
        <f ca="1">(TODAY()-staff[[#This Row],[Date Joined]])/365</f>
        <v>4.9863013698630141</v>
      </c>
      <c r="J20" s="29">
        <f ca="1">ROUNDUP(IF(staff[[#This Row],[Tenure]]&gt;2,3%,2%)*staff[[#This Row],[Salary]],0)</f>
        <v>1366</v>
      </c>
      <c r="K20" s="4">
        <f>_xlfn.XLOOKUP(staff[[#This Row],[Rating]],'Rating map table'!A$2:A$6,'Rating map table'!B$2:B$6)</f>
        <v>3</v>
      </c>
      <c r="M20"/>
    </row>
    <row r="21" spans="1:17" x14ac:dyDescent="0.3">
      <c r="A21" s="4" t="s">
        <v>201</v>
      </c>
      <c r="B21" s="4" t="s">
        <v>8</v>
      </c>
      <c r="C21" s="4" t="s">
        <v>56</v>
      </c>
      <c r="D21" s="4">
        <v>32</v>
      </c>
      <c r="E21" s="10">
        <v>44339</v>
      </c>
      <c r="F21" s="6">
        <v>45510</v>
      </c>
      <c r="G21" s="4" t="s">
        <v>16</v>
      </c>
      <c r="H21" s="4" t="s">
        <v>207</v>
      </c>
      <c r="I21" s="11">
        <f ca="1">(TODAY()-staff[[#This Row],[Date Joined]])/365</f>
        <v>5.1534246575342468</v>
      </c>
      <c r="J21" s="29">
        <f ca="1">ROUNDUP(IF(staff[[#This Row],[Tenure]]&gt;2,3%,2%)*staff[[#This Row],[Salary]],0)</f>
        <v>1366</v>
      </c>
      <c r="K21" s="4">
        <f>_xlfn.XLOOKUP(staff[[#This Row],[Rating]],'Rating map table'!A$2:A$6,'Rating map table'!B$2:B$6)</f>
        <v>3</v>
      </c>
      <c r="M21"/>
    </row>
    <row r="22" spans="1:17" x14ac:dyDescent="0.3">
      <c r="A22" s="4" t="s">
        <v>59</v>
      </c>
      <c r="B22" s="4" t="s">
        <v>15</v>
      </c>
      <c r="C22" s="4" t="s">
        <v>9</v>
      </c>
      <c r="D22" s="4">
        <v>26</v>
      </c>
      <c r="E22" s="10">
        <v>44225</v>
      </c>
      <c r="F22" s="6">
        <v>47360</v>
      </c>
      <c r="G22" s="4" t="s">
        <v>16</v>
      </c>
      <c r="H22" s="4" t="s">
        <v>205</v>
      </c>
      <c r="I22" s="11">
        <f ca="1">(TODAY()-staff[[#This Row],[Date Joined]])/365</f>
        <v>5.4657534246575343</v>
      </c>
      <c r="J22" s="29">
        <f ca="1">ROUNDUP(IF(staff[[#This Row],[Tenure]]&gt;2,3%,2%)*staff[[#This Row],[Salary]],0)</f>
        <v>1421</v>
      </c>
      <c r="K22" s="4">
        <f>_xlfn.XLOOKUP(staff[[#This Row],[Rating]],'Rating map table'!A$2:A$6,'Rating map table'!B$2:B$6)</f>
        <v>3</v>
      </c>
      <c r="L22"/>
      <c r="M22"/>
    </row>
    <row r="23" spans="1:17" x14ac:dyDescent="0.3">
      <c r="A23" s="4" t="s">
        <v>151</v>
      </c>
      <c r="B23" s="4" t="s">
        <v>15</v>
      </c>
      <c r="C23" s="4" t="s">
        <v>9</v>
      </c>
      <c r="D23" s="4">
        <v>26</v>
      </c>
      <c r="E23" s="10">
        <v>44164</v>
      </c>
      <c r="F23" s="6">
        <v>47360</v>
      </c>
      <c r="G23" s="4" t="s">
        <v>16</v>
      </c>
      <c r="H23" s="4" t="s">
        <v>207</v>
      </c>
      <c r="I23" s="11">
        <f ca="1">(TODAY()-staff[[#This Row],[Date Joined]])/365</f>
        <v>5.6328767123287671</v>
      </c>
      <c r="J23" s="29">
        <f ca="1">ROUNDUP(IF(staff[[#This Row],[Tenure]]&gt;2,3%,2%)*staff[[#This Row],[Salary]],0)</f>
        <v>1421</v>
      </c>
      <c r="K23" s="4">
        <f>_xlfn.XLOOKUP(staff[[#This Row],[Rating]],'Rating map table'!A$2:A$6,'Rating map table'!B$2:B$6)</f>
        <v>3</v>
      </c>
    </row>
    <row r="24" spans="1:17" x14ac:dyDescent="0.3">
      <c r="A24" s="4" t="s">
        <v>29</v>
      </c>
      <c r="B24" s="4" t="s">
        <v>15</v>
      </c>
      <c r="C24" s="4" t="s">
        <v>21</v>
      </c>
      <c r="D24" s="4">
        <v>28</v>
      </c>
      <c r="E24" s="10">
        <v>44041</v>
      </c>
      <c r="F24" s="6">
        <v>48170</v>
      </c>
      <c r="G24" s="4" t="s">
        <v>13</v>
      </c>
      <c r="H24" s="4" t="s">
        <v>205</v>
      </c>
      <c r="I24" s="11">
        <f ca="1">(TODAY()-staff[[#This Row],[Date Joined]])/365</f>
        <v>5.9698630136986299</v>
      </c>
      <c r="J24" s="29">
        <f ca="1">ROUNDUP(IF(staff[[#This Row],[Tenure]]&gt;2,3%,2%)*staff[[#This Row],[Salary]],0)</f>
        <v>1446</v>
      </c>
      <c r="K24" s="4">
        <f>_xlfn.XLOOKUP(staff[[#This Row],[Rating]],'Rating map table'!A$2:A$6,'Rating map table'!B$2:B$6)</f>
        <v>4</v>
      </c>
    </row>
    <row r="25" spans="1:17" x14ac:dyDescent="0.3">
      <c r="A25" s="4" t="s">
        <v>123</v>
      </c>
      <c r="B25" s="4" t="s">
        <v>15</v>
      </c>
      <c r="C25" s="4" t="s">
        <v>21</v>
      </c>
      <c r="D25" s="4">
        <v>28</v>
      </c>
      <c r="E25" s="10">
        <v>43980</v>
      </c>
      <c r="F25" s="6">
        <v>48170</v>
      </c>
      <c r="G25" s="4" t="s">
        <v>13</v>
      </c>
      <c r="H25" s="4" t="s">
        <v>207</v>
      </c>
      <c r="I25" s="11">
        <f ca="1">(TODAY()-staff[[#This Row],[Date Joined]])/365</f>
        <v>6.1369863013698627</v>
      </c>
      <c r="J25" s="29">
        <f ca="1">ROUNDUP(IF(staff[[#This Row],[Tenure]]&gt;2,3%,2%)*staff[[#This Row],[Salary]],0)</f>
        <v>1446</v>
      </c>
      <c r="K25" s="4">
        <f>_xlfn.XLOOKUP(staff[[#This Row],[Rating]],'Rating map table'!A$2:A$6,'Rating map table'!B$2:B$6)</f>
        <v>4</v>
      </c>
    </row>
    <row r="26" spans="1:17" x14ac:dyDescent="0.3">
      <c r="A26" s="4" t="s">
        <v>51</v>
      </c>
      <c r="B26" s="4" t="s">
        <v>15</v>
      </c>
      <c r="C26" s="4" t="s">
        <v>9</v>
      </c>
      <c r="D26" s="4">
        <v>33</v>
      </c>
      <c r="E26" s="10">
        <v>44701</v>
      </c>
      <c r="F26" s="6">
        <v>48530</v>
      </c>
      <c r="G26" s="4" t="s">
        <v>13</v>
      </c>
      <c r="H26" s="4" t="s">
        <v>205</v>
      </c>
      <c r="I26" s="11">
        <f ca="1">(TODAY()-staff[[#This Row],[Date Joined]])/365</f>
        <v>4.161643835616438</v>
      </c>
      <c r="J26" s="29">
        <f ca="1">ROUNDUP(IF(staff[[#This Row],[Tenure]]&gt;2,3%,2%)*staff[[#This Row],[Salary]],0)</f>
        <v>1456</v>
      </c>
      <c r="K26" s="4">
        <f>_xlfn.XLOOKUP(staff[[#This Row],[Rating]],'Rating map table'!A$2:A$6,'Rating map table'!B$2:B$6)</f>
        <v>4</v>
      </c>
    </row>
    <row r="27" spans="1:17" x14ac:dyDescent="0.3">
      <c r="A27" s="4" t="s">
        <v>144</v>
      </c>
      <c r="B27" s="4" t="s">
        <v>15</v>
      </c>
      <c r="C27" s="4" t="s">
        <v>9</v>
      </c>
      <c r="D27" s="4">
        <v>33</v>
      </c>
      <c r="E27" s="10">
        <v>44640</v>
      </c>
      <c r="F27" s="6">
        <v>48530</v>
      </c>
      <c r="G27" s="4" t="s">
        <v>13</v>
      </c>
      <c r="H27" s="4" t="s">
        <v>207</v>
      </c>
      <c r="I27" s="11">
        <f ca="1">(TODAY()-staff[[#This Row],[Date Joined]])/365</f>
        <v>4.3287671232876717</v>
      </c>
      <c r="J27" s="29">
        <f ca="1">ROUNDUP(IF(staff[[#This Row],[Tenure]]&gt;2,3%,2%)*staff[[#This Row],[Salary]],0)</f>
        <v>1456</v>
      </c>
      <c r="K27" s="4">
        <f>_xlfn.XLOOKUP(staff[[#This Row],[Rating]],'Rating map table'!A$2:A$6,'Rating map table'!B$2:B$6)</f>
        <v>4</v>
      </c>
    </row>
    <row r="28" spans="1:17" x14ac:dyDescent="0.3">
      <c r="A28" s="4" t="s">
        <v>14</v>
      </c>
      <c r="B28" s="4" t="s">
        <v>15</v>
      </c>
      <c r="C28" s="4" t="s">
        <v>12</v>
      </c>
      <c r="D28" s="4">
        <v>31</v>
      </c>
      <c r="E28" s="10">
        <v>44511</v>
      </c>
      <c r="F28" s="6">
        <v>48950</v>
      </c>
      <c r="G28" s="4" t="s">
        <v>16</v>
      </c>
      <c r="H28" s="4" t="s">
        <v>205</v>
      </c>
      <c r="I28" s="11">
        <f ca="1">(TODAY()-staff[[#This Row],[Date Joined]])/365</f>
        <v>4.6821917808219178</v>
      </c>
      <c r="J28" s="29">
        <f ca="1">ROUNDUP(IF(staff[[#This Row],[Tenure]]&gt;2,3%,2%)*staff[[#This Row],[Salary]],0)</f>
        <v>1469</v>
      </c>
      <c r="K28" s="4">
        <f>_xlfn.XLOOKUP(staff[[#This Row],[Rating]],'Rating map table'!A$2:A$6,'Rating map table'!B$2:B$6)</f>
        <v>3</v>
      </c>
    </row>
    <row r="29" spans="1:17" x14ac:dyDescent="0.3">
      <c r="A29" s="4" t="s">
        <v>113</v>
      </c>
      <c r="B29" s="4" t="s">
        <v>15</v>
      </c>
      <c r="C29" s="4" t="s">
        <v>12</v>
      </c>
      <c r="D29" s="4">
        <v>31</v>
      </c>
      <c r="E29" s="10">
        <v>44450</v>
      </c>
      <c r="F29" s="6">
        <v>48950</v>
      </c>
      <c r="G29" s="4" t="s">
        <v>16</v>
      </c>
      <c r="H29" s="4" t="s">
        <v>207</v>
      </c>
      <c r="I29" s="11">
        <f ca="1">(TODAY()-staff[[#This Row],[Date Joined]])/365</f>
        <v>4.8493150684931505</v>
      </c>
      <c r="J29" s="29">
        <f ca="1">ROUNDUP(IF(staff[[#This Row],[Tenure]]&gt;2,3%,2%)*staff[[#This Row],[Salary]],0)</f>
        <v>1469</v>
      </c>
      <c r="K29" s="4">
        <f>_xlfn.XLOOKUP(staff[[#This Row],[Rating]],'Rating map table'!A$2:A$6,'Rating map table'!B$2:B$6)</f>
        <v>3</v>
      </c>
    </row>
    <row r="30" spans="1:17" x14ac:dyDescent="0.3">
      <c r="A30" s="4" t="s">
        <v>53</v>
      </c>
      <c r="B30" s="4" t="s">
        <v>15</v>
      </c>
      <c r="C30" s="4" t="s">
        <v>21</v>
      </c>
      <c r="D30" s="4">
        <v>27</v>
      </c>
      <c r="E30" s="10">
        <v>44567</v>
      </c>
      <c r="F30" s="6">
        <v>48980</v>
      </c>
      <c r="G30" s="4" t="s">
        <v>16</v>
      </c>
      <c r="H30" s="4" t="s">
        <v>205</v>
      </c>
      <c r="I30" s="11">
        <f ca="1">(TODAY()-staff[[#This Row],[Date Joined]])/365</f>
        <v>4.5287671232876709</v>
      </c>
      <c r="J30" s="29">
        <f ca="1">ROUNDUP(IF(staff[[#This Row],[Tenure]]&gt;2,3%,2%)*staff[[#This Row],[Salary]],0)</f>
        <v>1470</v>
      </c>
      <c r="K30" s="4">
        <f>_xlfn.XLOOKUP(staff[[#This Row],[Rating]],'Rating map table'!A$2:A$6,'Rating map table'!B$2:B$6)</f>
        <v>3</v>
      </c>
    </row>
    <row r="31" spans="1:17" x14ac:dyDescent="0.3">
      <c r="A31" s="4" t="s">
        <v>146</v>
      </c>
      <c r="B31" s="4" t="s">
        <v>15</v>
      </c>
      <c r="C31" s="4" t="s">
        <v>21</v>
      </c>
      <c r="D31" s="4">
        <v>27</v>
      </c>
      <c r="E31" s="10">
        <v>44506</v>
      </c>
      <c r="F31" s="6">
        <v>48980</v>
      </c>
      <c r="G31" s="4" t="s">
        <v>16</v>
      </c>
      <c r="H31" s="4" t="s">
        <v>207</v>
      </c>
      <c r="I31" s="11">
        <f ca="1">(TODAY()-staff[[#This Row],[Date Joined]])/365</f>
        <v>4.6958904109589037</v>
      </c>
      <c r="J31" s="29">
        <f ca="1">ROUNDUP(IF(staff[[#This Row],[Tenure]]&gt;2,3%,2%)*staff[[#This Row],[Salary]],0)</f>
        <v>1470</v>
      </c>
      <c r="K31" s="4">
        <f>_xlfn.XLOOKUP(staff[[#This Row],[Rating]],'Rating map table'!A$2:A$6,'Rating map table'!B$2:B$6)</f>
        <v>3</v>
      </c>
    </row>
    <row r="32" spans="1:17" x14ac:dyDescent="0.3">
      <c r="A32" s="4" t="s">
        <v>73</v>
      </c>
      <c r="B32" s="4" t="s">
        <v>8</v>
      </c>
      <c r="C32" s="4" t="s">
        <v>19</v>
      </c>
      <c r="D32" s="4">
        <v>34</v>
      </c>
      <c r="E32" s="10">
        <v>44721</v>
      </c>
      <c r="F32" s="6">
        <v>49630</v>
      </c>
      <c r="G32" s="4" t="s">
        <v>24</v>
      </c>
      <c r="H32" s="4" t="s">
        <v>205</v>
      </c>
      <c r="I32" s="11">
        <f ca="1">(TODAY()-staff[[#This Row],[Date Joined]])/365</f>
        <v>4.1068493150684935</v>
      </c>
      <c r="J32" s="29">
        <f ca="1">ROUNDUP(IF(staff[[#This Row],[Tenure]]&gt;2,3%,2%)*staff[[#This Row],[Salary]],0)</f>
        <v>1489</v>
      </c>
      <c r="K32" s="4">
        <f>_xlfn.XLOOKUP(staff[[#This Row],[Rating]],'Rating map table'!A$2:A$6,'Rating map table'!B$2:B$6)</f>
        <v>2</v>
      </c>
    </row>
    <row r="33" spans="1:11" x14ac:dyDescent="0.3">
      <c r="A33" s="4" t="s">
        <v>165</v>
      </c>
      <c r="B33" s="4" t="s">
        <v>8</v>
      </c>
      <c r="C33" s="4" t="s">
        <v>19</v>
      </c>
      <c r="D33" s="4">
        <v>34</v>
      </c>
      <c r="E33" s="10">
        <v>44660</v>
      </c>
      <c r="F33" s="6">
        <v>49630</v>
      </c>
      <c r="G33" s="4" t="s">
        <v>24</v>
      </c>
      <c r="H33" s="4" t="s">
        <v>207</v>
      </c>
      <c r="I33" s="11">
        <f ca="1">(TODAY()-staff[[#This Row],[Date Joined]])/365</f>
        <v>4.2739726027397262</v>
      </c>
      <c r="J33" s="29">
        <f ca="1">ROUNDUP(IF(staff[[#This Row],[Tenure]]&gt;2,3%,2%)*staff[[#This Row],[Salary]],0)</f>
        <v>1489</v>
      </c>
      <c r="K33" s="4">
        <f>_xlfn.XLOOKUP(staff[[#This Row],[Rating]],'Rating map table'!A$2:A$6,'Rating map table'!B$2:B$6)</f>
        <v>2</v>
      </c>
    </row>
    <row r="34" spans="1:11" x14ac:dyDescent="0.3">
      <c r="A34" s="4" t="s">
        <v>63</v>
      </c>
      <c r="B34" s="4" t="s">
        <v>15</v>
      </c>
      <c r="C34" s="4" t="s">
        <v>21</v>
      </c>
      <c r="D34" s="4">
        <v>24</v>
      </c>
      <c r="E34" s="10">
        <v>44436</v>
      </c>
      <c r="F34" s="6">
        <v>52610</v>
      </c>
      <c r="G34" s="4" t="s">
        <v>24</v>
      </c>
      <c r="H34" s="4" t="s">
        <v>205</v>
      </c>
      <c r="I34" s="11">
        <f ca="1">(TODAY()-staff[[#This Row],[Date Joined]])/365</f>
        <v>4.8876712328767127</v>
      </c>
      <c r="J34" s="29">
        <f ca="1">ROUNDUP(IF(staff[[#This Row],[Tenure]]&gt;2,3%,2%)*staff[[#This Row],[Salary]],0)</f>
        <v>1579</v>
      </c>
      <c r="K34" s="4">
        <f>_xlfn.XLOOKUP(staff[[#This Row],[Rating]],'Rating map table'!A$2:A$6,'Rating map table'!B$2:B$6)</f>
        <v>2</v>
      </c>
    </row>
    <row r="35" spans="1:11" x14ac:dyDescent="0.3">
      <c r="A35" s="4" t="s">
        <v>155</v>
      </c>
      <c r="B35" s="4" t="s">
        <v>15</v>
      </c>
      <c r="C35" s="4" t="s">
        <v>21</v>
      </c>
      <c r="D35" s="4">
        <v>24</v>
      </c>
      <c r="E35" s="10">
        <v>44375</v>
      </c>
      <c r="F35" s="6">
        <v>52610</v>
      </c>
      <c r="G35" s="4" t="s">
        <v>24</v>
      </c>
      <c r="H35" s="4" t="s">
        <v>207</v>
      </c>
      <c r="I35" s="11">
        <f ca="1">(TODAY()-staff[[#This Row],[Date Joined]])/365</f>
        <v>5.0547945205479454</v>
      </c>
      <c r="J35" s="29">
        <f ca="1">ROUNDUP(IF(staff[[#This Row],[Tenure]]&gt;2,3%,2%)*staff[[#This Row],[Salary]],0)</f>
        <v>1579</v>
      </c>
      <c r="K35" s="4">
        <f>_xlfn.XLOOKUP(staff[[#This Row],[Rating]],'Rating map table'!A$2:A$6,'Rating map table'!B$2:B$6)</f>
        <v>2</v>
      </c>
    </row>
    <row r="36" spans="1:11" x14ac:dyDescent="0.3">
      <c r="A36" s="4" t="s">
        <v>75</v>
      </c>
      <c r="B36" s="4" t="s">
        <v>8</v>
      </c>
      <c r="C36" s="4" t="s">
        <v>19</v>
      </c>
      <c r="D36" s="4">
        <v>28</v>
      </c>
      <c r="E36" s="10">
        <v>44357</v>
      </c>
      <c r="F36" s="6">
        <v>53240</v>
      </c>
      <c r="G36" s="4" t="s">
        <v>16</v>
      </c>
      <c r="H36" s="4" t="s">
        <v>205</v>
      </c>
      <c r="I36" s="11">
        <f ca="1">(TODAY()-staff[[#This Row],[Date Joined]])/365</f>
        <v>5.1041095890410961</v>
      </c>
      <c r="J36" s="29">
        <f ca="1">ROUNDUP(IF(staff[[#This Row],[Tenure]]&gt;2,3%,2%)*staff[[#This Row],[Salary]],0)</f>
        <v>1598</v>
      </c>
      <c r="K36" s="4">
        <f>_xlfn.XLOOKUP(staff[[#This Row],[Rating]],'Rating map table'!A$2:A$6,'Rating map table'!B$2:B$6)</f>
        <v>3</v>
      </c>
    </row>
    <row r="37" spans="1:11" x14ac:dyDescent="0.3">
      <c r="A37" s="4" t="s">
        <v>167</v>
      </c>
      <c r="B37" s="4" t="s">
        <v>8</v>
      </c>
      <c r="C37" s="4" t="s">
        <v>19</v>
      </c>
      <c r="D37" s="4">
        <v>28</v>
      </c>
      <c r="E37" s="10">
        <v>44296</v>
      </c>
      <c r="F37" s="6">
        <v>53240</v>
      </c>
      <c r="G37" s="4" t="s">
        <v>16</v>
      </c>
      <c r="H37" s="4" t="s">
        <v>207</v>
      </c>
      <c r="I37" s="11">
        <f ca="1">(TODAY()-staff[[#This Row],[Date Joined]])/365</f>
        <v>5.2712328767123289</v>
      </c>
      <c r="J37" s="29">
        <f ca="1">ROUNDUP(IF(staff[[#This Row],[Tenure]]&gt;2,3%,2%)*staff[[#This Row],[Salary]],0)</f>
        <v>1598</v>
      </c>
      <c r="K37" s="4">
        <f>_xlfn.XLOOKUP(staff[[#This Row],[Rating]],'Rating map table'!A$2:A$6,'Rating map table'!B$2:B$6)</f>
        <v>3</v>
      </c>
    </row>
    <row r="38" spans="1:11" x14ac:dyDescent="0.3">
      <c r="A38" s="4" t="s">
        <v>65</v>
      </c>
      <c r="B38" s="4" t="s">
        <v>15</v>
      </c>
      <c r="C38" s="4" t="s">
        <v>19</v>
      </c>
      <c r="D38" s="4">
        <v>32</v>
      </c>
      <c r="E38" s="10">
        <v>44465</v>
      </c>
      <c r="F38" s="6">
        <v>53540</v>
      </c>
      <c r="G38" s="4" t="s">
        <v>16</v>
      </c>
      <c r="H38" s="4" t="s">
        <v>205</v>
      </c>
      <c r="I38" s="11">
        <f ca="1">(TODAY()-staff[[#This Row],[Date Joined]])/365</f>
        <v>4.8082191780821919</v>
      </c>
      <c r="J38" s="29">
        <f ca="1">ROUNDUP(IF(staff[[#This Row],[Tenure]]&gt;2,3%,2%)*staff[[#This Row],[Salary]],0)</f>
        <v>1607</v>
      </c>
      <c r="K38" s="4">
        <f>_xlfn.XLOOKUP(staff[[#This Row],[Rating]],'Rating map table'!A$2:A$6,'Rating map table'!B$2:B$6)</f>
        <v>3</v>
      </c>
    </row>
    <row r="39" spans="1:11" x14ac:dyDescent="0.3">
      <c r="A39" s="4" t="s">
        <v>46</v>
      </c>
      <c r="B39" s="4" t="s">
        <v>15</v>
      </c>
      <c r="C39" s="4" t="s">
        <v>9</v>
      </c>
      <c r="D39" s="4">
        <v>26</v>
      </c>
      <c r="E39" s="10">
        <v>44411</v>
      </c>
      <c r="F39" s="6">
        <v>53540</v>
      </c>
      <c r="G39" s="4" t="s">
        <v>16</v>
      </c>
      <c r="H39" s="4" t="s">
        <v>205</v>
      </c>
      <c r="I39" s="11">
        <f ca="1">(TODAY()-staff[[#This Row],[Date Joined]])/365</f>
        <v>4.956164383561644</v>
      </c>
      <c r="J39" s="29">
        <f ca="1">ROUNDUP(IF(staff[[#This Row],[Tenure]]&gt;2,3%,2%)*staff[[#This Row],[Salary]],0)</f>
        <v>1607</v>
      </c>
      <c r="K39" s="4">
        <f>_xlfn.XLOOKUP(staff[[#This Row],[Rating]],'Rating map table'!A$2:A$6,'Rating map table'!B$2:B$6)</f>
        <v>3</v>
      </c>
    </row>
    <row r="40" spans="1:11" x14ac:dyDescent="0.3">
      <c r="A40" s="4" t="s">
        <v>157</v>
      </c>
      <c r="B40" s="4" t="s">
        <v>15</v>
      </c>
      <c r="C40" s="4" t="s">
        <v>19</v>
      </c>
      <c r="D40" s="4">
        <v>32</v>
      </c>
      <c r="E40" s="10">
        <v>44403</v>
      </c>
      <c r="F40" s="6">
        <v>53540</v>
      </c>
      <c r="G40" s="4" t="s">
        <v>16</v>
      </c>
      <c r="H40" s="4" t="s">
        <v>207</v>
      </c>
      <c r="I40" s="11">
        <f ca="1">(TODAY()-staff[[#This Row],[Date Joined]])/365</f>
        <v>4.978082191780822</v>
      </c>
      <c r="J40" s="29">
        <f ca="1">ROUNDUP(IF(staff[[#This Row],[Tenure]]&gt;2,3%,2%)*staff[[#This Row],[Salary]],0)</f>
        <v>1607</v>
      </c>
      <c r="K40" s="4">
        <f>_xlfn.XLOOKUP(staff[[#This Row],[Rating]],'Rating map table'!A$2:A$6,'Rating map table'!B$2:B$6)</f>
        <v>3</v>
      </c>
    </row>
    <row r="41" spans="1:11" x14ac:dyDescent="0.3">
      <c r="A41" s="4" t="s">
        <v>139</v>
      </c>
      <c r="B41" s="4" t="s">
        <v>15</v>
      </c>
      <c r="C41" s="4" t="s">
        <v>9</v>
      </c>
      <c r="D41" s="4">
        <v>26</v>
      </c>
      <c r="E41" s="10">
        <v>44350</v>
      </c>
      <c r="F41" s="6">
        <v>53540</v>
      </c>
      <c r="G41" s="4" t="s">
        <v>16</v>
      </c>
      <c r="H41" s="4" t="s">
        <v>207</v>
      </c>
      <c r="I41" s="11">
        <f ca="1">(TODAY()-staff[[#This Row],[Date Joined]])/365</f>
        <v>5.1232876712328768</v>
      </c>
      <c r="J41" s="29">
        <f ca="1">ROUNDUP(IF(staff[[#This Row],[Tenure]]&gt;2,3%,2%)*staff[[#This Row],[Salary]],0)</f>
        <v>1607</v>
      </c>
      <c r="K41" s="4">
        <f>_xlfn.XLOOKUP(staff[[#This Row],[Rating]],'Rating map table'!A$2:A$6,'Rating map table'!B$2:B$6)</f>
        <v>3</v>
      </c>
    </row>
    <row r="42" spans="1:11" x14ac:dyDescent="0.3">
      <c r="A42" s="4" t="s">
        <v>82</v>
      </c>
      <c r="B42" s="4" t="s">
        <v>15</v>
      </c>
      <c r="C42" s="4" t="s">
        <v>12</v>
      </c>
      <c r="D42" s="4">
        <v>33</v>
      </c>
      <c r="E42" s="10">
        <v>44509</v>
      </c>
      <c r="F42" s="6">
        <v>53870</v>
      </c>
      <c r="G42" s="4" t="s">
        <v>16</v>
      </c>
      <c r="H42" s="4" t="s">
        <v>205</v>
      </c>
      <c r="I42" s="11">
        <f ca="1">(TODAY()-staff[[#This Row],[Date Joined]])/365</f>
        <v>4.6876712328767125</v>
      </c>
      <c r="J42" s="29">
        <f ca="1">ROUNDUP(IF(staff[[#This Row],[Tenure]]&gt;2,3%,2%)*staff[[#This Row],[Salary]],0)</f>
        <v>1617</v>
      </c>
      <c r="K42" s="4">
        <f>_xlfn.XLOOKUP(staff[[#This Row],[Rating]],'Rating map table'!A$2:A$6,'Rating map table'!B$2:B$6)</f>
        <v>3</v>
      </c>
    </row>
    <row r="43" spans="1:11" x14ac:dyDescent="0.3">
      <c r="A43" s="4" t="s">
        <v>174</v>
      </c>
      <c r="B43" s="4" t="s">
        <v>15</v>
      </c>
      <c r="C43" s="4" t="s">
        <v>12</v>
      </c>
      <c r="D43" s="4">
        <v>33</v>
      </c>
      <c r="E43" s="10">
        <v>44448</v>
      </c>
      <c r="F43" s="6">
        <v>53870</v>
      </c>
      <c r="G43" s="4" t="s">
        <v>16</v>
      </c>
      <c r="H43" s="4" t="s">
        <v>207</v>
      </c>
      <c r="I43" s="11">
        <f ca="1">(TODAY()-staff[[#This Row],[Date Joined]])/365</f>
        <v>4.8547945205479452</v>
      </c>
      <c r="J43" s="29">
        <f ca="1">ROUNDUP(IF(staff[[#This Row],[Tenure]]&gt;2,3%,2%)*staff[[#This Row],[Salary]],0)</f>
        <v>1617</v>
      </c>
      <c r="K43" s="4">
        <f>_xlfn.XLOOKUP(staff[[#This Row],[Rating]],'Rating map table'!A$2:A$6,'Rating map table'!B$2:B$6)</f>
        <v>3</v>
      </c>
    </row>
    <row r="44" spans="1:11" x14ac:dyDescent="0.3">
      <c r="A44" s="4" t="s">
        <v>89</v>
      </c>
      <c r="B44" s="4" t="s">
        <v>15</v>
      </c>
      <c r="C44" s="4" t="s">
        <v>19</v>
      </c>
      <c r="D44" s="4">
        <v>27</v>
      </c>
      <c r="E44" s="10">
        <v>44134</v>
      </c>
      <c r="F44" s="6">
        <v>54970</v>
      </c>
      <c r="G44" s="4" t="s">
        <v>16</v>
      </c>
      <c r="H44" s="4" t="s">
        <v>205</v>
      </c>
      <c r="I44" s="11">
        <f ca="1">(TODAY()-staff[[#This Row],[Date Joined]])/365</f>
        <v>5.7150684931506852</v>
      </c>
      <c r="J44" s="29">
        <f ca="1">ROUNDUP(IF(staff[[#This Row],[Tenure]]&gt;2,3%,2%)*staff[[#This Row],[Salary]],0)</f>
        <v>1650</v>
      </c>
      <c r="K44" s="4">
        <f>_xlfn.XLOOKUP(staff[[#This Row],[Rating]],'Rating map table'!A$2:A$6,'Rating map table'!B$2:B$6)</f>
        <v>3</v>
      </c>
    </row>
    <row r="45" spans="1:11" x14ac:dyDescent="0.3">
      <c r="A45" s="4" t="s">
        <v>182</v>
      </c>
      <c r="B45" s="4" t="s">
        <v>15</v>
      </c>
      <c r="C45" s="4" t="s">
        <v>19</v>
      </c>
      <c r="D45" s="4">
        <v>27</v>
      </c>
      <c r="E45" s="10">
        <v>44073</v>
      </c>
      <c r="F45" s="6">
        <v>54970</v>
      </c>
      <c r="G45" s="4" t="s">
        <v>16</v>
      </c>
      <c r="H45" s="4" t="s">
        <v>207</v>
      </c>
      <c r="I45" s="11">
        <f ca="1">(TODAY()-staff[[#This Row],[Date Joined]])/365</f>
        <v>5.882191780821918</v>
      </c>
      <c r="J45" s="29">
        <f ca="1">ROUNDUP(IF(staff[[#This Row],[Tenure]]&gt;2,3%,2%)*staff[[#This Row],[Salary]],0)</f>
        <v>1650</v>
      </c>
      <c r="K45" s="4">
        <f>_xlfn.XLOOKUP(staff[[#This Row],[Rating]],'Rating map table'!A$2:A$6,'Rating map table'!B$2:B$6)</f>
        <v>3</v>
      </c>
    </row>
    <row r="46" spans="1:11" x14ac:dyDescent="0.3">
      <c r="A46" s="4" t="s">
        <v>109</v>
      </c>
      <c r="B46" s="4" t="s">
        <v>8</v>
      </c>
      <c r="C46" s="4" t="s">
        <v>19</v>
      </c>
      <c r="D46" s="4">
        <v>38</v>
      </c>
      <c r="E46" s="10">
        <v>44329</v>
      </c>
      <c r="F46" s="6">
        <v>56870</v>
      </c>
      <c r="G46" s="4" t="s">
        <v>13</v>
      </c>
      <c r="H46" s="4" t="s">
        <v>205</v>
      </c>
      <c r="I46" s="11">
        <f ca="1">(TODAY()-staff[[#This Row],[Date Joined]])/365</f>
        <v>5.1808219178082195</v>
      </c>
      <c r="J46" s="29">
        <f ca="1">ROUNDUP(IF(staff[[#This Row],[Tenure]]&gt;2,3%,2%)*staff[[#This Row],[Salary]],0)</f>
        <v>1707</v>
      </c>
      <c r="K46" s="4">
        <f>_xlfn.XLOOKUP(staff[[#This Row],[Rating]],'Rating map table'!A$2:A$6,'Rating map table'!B$2:B$6)</f>
        <v>4</v>
      </c>
    </row>
    <row r="47" spans="1:11" x14ac:dyDescent="0.3">
      <c r="A47" s="4" t="s">
        <v>202</v>
      </c>
      <c r="B47" s="4" t="s">
        <v>8</v>
      </c>
      <c r="C47" s="4" t="s">
        <v>19</v>
      </c>
      <c r="D47" s="4">
        <v>38</v>
      </c>
      <c r="E47" s="10">
        <v>44268</v>
      </c>
      <c r="F47" s="6">
        <v>56870</v>
      </c>
      <c r="G47" s="4" t="s">
        <v>13</v>
      </c>
      <c r="H47" s="4" t="s">
        <v>207</v>
      </c>
      <c r="I47" s="11">
        <f ca="1">(TODAY()-staff[[#This Row],[Date Joined]])/365</f>
        <v>5.3479452054794523</v>
      </c>
      <c r="J47" s="29">
        <f ca="1">ROUNDUP(IF(staff[[#This Row],[Tenure]]&gt;2,3%,2%)*staff[[#This Row],[Salary]],0)</f>
        <v>1707</v>
      </c>
      <c r="K47" s="4">
        <f>_xlfn.XLOOKUP(staff[[#This Row],[Rating]],'Rating map table'!A$2:A$6,'Rating map table'!B$2:B$6)</f>
        <v>4</v>
      </c>
    </row>
    <row r="48" spans="1:11" x14ac:dyDescent="0.3">
      <c r="A48" s="4" t="s">
        <v>31</v>
      </c>
      <c r="B48" s="4" t="s">
        <v>15</v>
      </c>
      <c r="C48" s="4" t="s">
        <v>9</v>
      </c>
      <c r="D48" s="4">
        <v>21</v>
      </c>
      <c r="E48" s="10">
        <v>44762</v>
      </c>
      <c r="F48" s="6">
        <v>57090</v>
      </c>
      <c r="G48" s="4" t="s">
        <v>16</v>
      </c>
      <c r="H48" s="4" t="s">
        <v>205</v>
      </c>
      <c r="I48" s="11">
        <f ca="1">(TODAY()-staff[[#This Row],[Date Joined]])/365</f>
        <v>3.9945205479452053</v>
      </c>
      <c r="J48" s="29">
        <f ca="1">ROUNDUP(IF(staff[[#This Row],[Tenure]]&gt;2,3%,2%)*staff[[#This Row],[Salary]],0)</f>
        <v>1713</v>
      </c>
      <c r="K48" s="4">
        <f>_xlfn.XLOOKUP(staff[[#This Row],[Rating]],'Rating map table'!A$2:A$6,'Rating map table'!B$2:B$6)</f>
        <v>3</v>
      </c>
    </row>
    <row r="49" spans="1:11" x14ac:dyDescent="0.3">
      <c r="A49" s="4" t="s">
        <v>125</v>
      </c>
      <c r="B49" s="4" t="s">
        <v>15</v>
      </c>
      <c r="C49" s="4" t="s">
        <v>9</v>
      </c>
      <c r="D49" s="4">
        <v>21</v>
      </c>
      <c r="E49" s="10">
        <v>44701</v>
      </c>
      <c r="F49" s="6">
        <v>57090</v>
      </c>
      <c r="G49" s="4" t="s">
        <v>16</v>
      </c>
      <c r="H49" s="4" t="s">
        <v>207</v>
      </c>
      <c r="I49" s="11">
        <f ca="1">(TODAY()-staff[[#This Row],[Date Joined]])/365</f>
        <v>4.161643835616438</v>
      </c>
      <c r="J49" s="29">
        <f ca="1">ROUNDUP(IF(staff[[#This Row],[Tenure]]&gt;2,3%,2%)*staff[[#This Row],[Salary]],0)</f>
        <v>1713</v>
      </c>
      <c r="K49" s="4">
        <f>_xlfn.XLOOKUP(staff[[#This Row],[Rating]],'Rating map table'!A$2:A$6,'Rating map table'!B$2:B$6)</f>
        <v>3</v>
      </c>
    </row>
    <row r="50" spans="1:11" x14ac:dyDescent="0.3">
      <c r="A50" s="4" t="s">
        <v>26</v>
      </c>
      <c r="B50" s="4" t="s">
        <v>8</v>
      </c>
      <c r="C50" s="4" t="s">
        <v>12</v>
      </c>
      <c r="D50" s="4">
        <v>31</v>
      </c>
      <c r="E50" s="10">
        <v>44663</v>
      </c>
      <c r="F50" s="6">
        <v>58100</v>
      </c>
      <c r="G50" s="4" t="s">
        <v>16</v>
      </c>
      <c r="H50" s="4" t="s">
        <v>205</v>
      </c>
      <c r="I50" s="11">
        <f ca="1">(TODAY()-staff[[#This Row],[Date Joined]])/365</f>
        <v>4.2657534246575342</v>
      </c>
      <c r="J50" s="29">
        <f ca="1">ROUNDUP(IF(staff[[#This Row],[Tenure]]&gt;2,3%,2%)*staff[[#This Row],[Salary]],0)</f>
        <v>1743</v>
      </c>
      <c r="K50" s="4">
        <f>_xlfn.XLOOKUP(staff[[#This Row],[Rating]],'Rating map table'!A$2:A$6,'Rating map table'!B$2:B$6)</f>
        <v>3</v>
      </c>
    </row>
    <row r="51" spans="1:11" x14ac:dyDescent="0.3">
      <c r="A51" s="4" t="s">
        <v>120</v>
      </c>
      <c r="B51" s="4" t="s">
        <v>8</v>
      </c>
      <c r="C51" s="4" t="s">
        <v>12</v>
      </c>
      <c r="D51" s="4">
        <v>31</v>
      </c>
      <c r="E51" s="10">
        <v>44604</v>
      </c>
      <c r="F51" s="6">
        <v>58100</v>
      </c>
      <c r="G51" s="4" t="s">
        <v>16</v>
      </c>
      <c r="H51" s="4" t="s">
        <v>207</v>
      </c>
      <c r="I51" s="11">
        <f ca="1">(TODAY()-staff[[#This Row],[Date Joined]])/365</f>
        <v>4.4273972602739722</v>
      </c>
      <c r="J51" s="29">
        <f ca="1">ROUNDUP(IF(staff[[#This Row],[Tenure]]&gt;2,3%,2%)*staff[[#This Row],[Salary]],0)</f>
        <v>1743</v>
      </c>
      <c r="K51" s="4">
        <f>_xlfn.XLOOKUP(staff[[#This Row],[Rating]],'Rating map table'!A$2:A$6,'Rating map table'!B$2:B$6)</f>
        <v>3</v>
      </c>
    </row>
    <row r="52" spans="1:11" x14ac:dyDescent="0.3">
      <c r="A52" s="4" t="s">
        <v>36</v>
      </c>
      <c r="B52" s="4" t="s">
        <v>8</v>
      </c>
      <c r="C52" s="4" t="s">
        <v>21</v>
      </c>
      <c r="D52" s="4">
        <v>34</v>
      </c>
      <c r="E52" s="10">
        <v>44653</v>
      </c>
      <c r="F52" s="6">
        <v>58940</v>
      </c>
      <c r="G52" s="4" t="s">
        <v>16</v>
      </c>
      <c r="H52" s="4" t="s">
        <v>205</v>
      </c>
      <c r="I52" s="11">
        <f ca="1">(TODAY()-staff[[#This Row],[Date Joined]])/365</f>
        <v>4.2931506849315069</v>
      </c>
      <c r="J52" s="29">
        <f ca="1">ROUNDUP(IF(staff[[#This Row],[Tenure]]&gt;2,3%,2%)*staff[[#This Row],[Salary]],0)</f>
        <v>1769</v>
      </c>
      <c r="K52" s="4">
        <f>_xlfn.XLOOKUP(staff[[#This Row],[Rating]],'Rating map table'!A$2:A$6,'Rating map table'!B$2:B$6)</f>
        <v>3</v>
      </c>
    </row>
    <row r="53" spans="1:11" x14ac:dyDescent="0.3">
      <c r="A53" s="4" t="s">
        <v>130</v>
      </c>
      <c r="B53" s="4" t="s">
        <v>8</v>
      </c>
      <c r="C53" s="4" t="s">
        <v>21</v>
      </c>
      <c r="D53" s="4">
        <v>34</v>
      </c>
      <c r="E53" s="10">
        <v>44594</v>
      </c>
      <c r="F53" s="6">
        <v>58940</v>
      </c>
      <c r="G53" s="4" t="s">
        <v>16</v>
      </c>
      <c r="H53" s="4" t="s">
        <v>207</v>
      </c>
      <c r="I53" s="11">
        <f ca="1">(TODAY()-staff[[#This Row],[Date Joined]])/365</f>
        <v>4.4547945205479449</v>
      </c>
      <c r="J53" s="29">
        <f ca="1">ROUNDUP(IF(staff[[#This Row],[Tenure]]&gt;2,3%,2%)*staff[[#This Row],[Salary]],0)</f>
        <v>1769</v>
      </c>
      <c r="K53" s="4">
        <f>_xlfn.XLOOKUP(staff[[#This Row],[Rating]],'Rating map table'!A$2:A$6,'Rating map table'!B$2:B$6)</f>
        <v>3</v>
      </c>
    </row>
    <row r="54" spans="1:11" x14ac:dyDescent="0.3">
      <c r="A54" s="4" t="s">
        <v>100</v>
      </c>
      <c r="B54" s="4" t="s">
        <v>15</v>
      </c>
      <c r="C54" s="4" t="s">
        <v>9</v>
      </c>
      <c r="D54" s="4">
        <v>19</v>
      </c>
      <c r="E54" s="10">
        <v>44277</v>
      </c>
      <c r="F54" s="6">
        <v>58960</v>
      </c>
      <c r="G54" s="4" t="s">
        <v>16</v>
      </c>
      <c r="H54" s="4" t="s">
        <v>205</v>
      </c>
      <c r="I54" s="11">
        <f ca="1">(TODAY()-staff[[#This Row],[Date Joined]])/365</f>
        <v>5.3232876712328769</v>
      </c>
      <c r="J54" s="29">
        <f ca="1">ROUNDUP(IF(staff[[#This Row],[Tenure]]&gt;2,3%,2%)*staff[[#This Row],[Salary]],0)</f>
        <v>1769</v>
      </c>
      <c r="K54" s="4">
        <f>_xlfn.XLOOKUP(staff[[#This Row],[Rating]],'Rating map table'!A$2:A$6,'Rating map table'!B$2:B$6)</f>
        <v>3</v>
      </c>
    </row>
    <row r="55" spans="1:11" x14ac:dyDescent="0.3">
      <c r="A55" s="4" t="s">
        <v>193</v>
      </c>
      <c r="B55" s="4" t="s">
        <v>15</v>
      </c>
      <c r="C55" s="4" t="s">
        <v>9</v>
      </c>
      <c r="D55" s="4">
        <v>19</v>
      </c>
      <c r="E55" s="10">
        <v>44218</v>
      </c>
      <c r="F55" s="6">
        <v>58960</v>
      </c>
      <c r="G55" s="4" t="s">
        <v>16</v>
      </c>
      <c r="H55" s="4" t="s">
        <v>207</v>
      </c>
      <c r="I55" s="11">
        <f ca="1">(TODAY()-staff[[#This Row],[Date Joined]])/365</f>
        <v>5.484931506849315</v>
      </c>
      <c r="J55" s="29">
        <f ca="1">ROUNDUP(IF(staff[[#This Row],[Tenure]]&gt;2,3%,2%)*staff[[#This Row],[Salary]],0)</f>
        <v>1769</v>
      </c>
      <c r="K55" s="4">
        <f>_xlfn.XLOOKUP(staff[[#This Row],[Rating]],'Rating map table'!A$2:A$6,'Rating map table'!B$2:B$6)</f>
        <v>3</v>
      </c>
    </row>
    <row r="56" spans="1:11" x14ac:dyDescent="0.3">
      <c r="A56" s="4" t="s">
        <v>79</v>
      </c>
      <c r="B56" s="4" t="s">
        <v>15</v>
      </c>
      <c r="C56" s="4" t="s">
        <v>21</v>
      </c>
      <c r="D56" s="4">
        <v>33</v>
      </c>
      <c r="E56" s="10">
        <v>44243</v>
      </c>
      <c r="F56" s="6">
        <v>59430</v>
      </c>
      <c r="G56" s="4" t="s">
        <v>16</v>
      </c>
      <c r="H56" s="4" t="s">
        <v>205</v>
      </c>
      <c r="I56" s="11">
        <f ca="1">(TODAY()-staff[[#This Row],[Date Joined]])/365</f>
        <v>5.4164383561643836</v>
      </c>
      <c r="J56" s="29">
        <f ca="1">ROUNDUP(IF(staff[[#This Row],[Tenure]]&gt;2,3%,2%)*staff[[#This Row],[Salary]],0)</f>
        <v>1783</v>
      </c>
      <c r="K56" s="4">
        <f>_xlfn.XLOOKUP(staff[[#This Row],[Rating]],'Rating map table'!A$2:A$6,'Rating map table'!B$2:B$6)</f>
        <v>3</v>
      </c>
    </row>
    <row r="57" spans="1:11" x14ac:dyDescent="0.3">
      <c r="A57" s="4" t="s">
        <v>171</v>
      </c>
      <c r="B57" s="4" t="s">
        <v>15</v>
      </c>
      <c r="C57" s="4" t="s">
        <v>21</v>
      </c>
      <c r="D57" s="4">
        <v>33</v>
      </c>
      <c r="E57" s="10">
        <v>44181</v>
      </c>
      <c r="F57" s="6">
        <v>59430</v>
      </c>
      <c r="G57" s="4" t="s">
        <v>16</v>
      </c>
      <c r="H57" s="4" t="s">
        <v>207</v>
      </c>
      <c r="I57" s="11">
        <f ca="1">(TODAY()-staff[[#This Row],[Date Joined]])/365</f>
        <v>5.5863013698630137</v>
      </c>
      <c r="J57" s="29">
        <f ca="1">ROUNDUP(IF(staff[[#This Row],[Tenure]]&gt;2,3%,2%)*staff[[#This Row],[Salary]],0)</f>
        <v>1783</v>
      </c>
      <c r="K57" s="4">
        <f>_xlfn.XLOOKUP(staff[[#This Row],[Rating]],'Rating map table'!A$2:A$6,'Rating map table'!B$2:B$6)</f>
        <v>3</v>
      </c>
    </row>
    <row r="58" spans="1:11" x14ac:dyDescent="0.3">
      <c r="A58" s="4" t="s">
        <v>38</v>
      </c>
      <c r="B58" s="4" t="s">
        <v>8</v>
      </c>
      <c r="C58" s="4" t="s">
        <v>21</v>
      </c>
      <c r="D58" s="4">
        <v>34</v>
      </c>
      <c r="E58" s="10">
        <v>44612</v>
      </c>
      <c r="F58" s="6">
        <v>60130</v>
      </c>
      <c r="G58" s="4" t="s">
        <v>16</v>
      </c>
      <c r="H58" s="4" t="s">
        <v>205</v>
      </c>
      <c r="I58" s="11">
        <f ca="1">(TODAY()-staff[[#This Row],[Date Joined]])/365</f>
        <v>4.4054794520547942</v>
      </c>
      <c r="J58" s="29">
        <f ca="1">ROUNDUP(IF(staff[[#This Row],[Tenure]]&gt;2,3%,2%)*staff[[#This Row],[Salary]],0)</f>
        <v>1804</v>
      </c>
      <c r="K58" s="4">
        <f>_xlfn.XLOOKUP(staff[[#This Row],[Rating]],'Rating map table'!A$2:A$6,'Rating map table'!B$2:B$6)</f>
        <v>3</v>
      </c>
    </row>
    <row r="59" spans="1:11" x14ac:dyDescent="0.3">
      <c r="A59" s="4" t="s">
        <v>132</v>
      </c>
      <c r="B59" s="4" t="s">
        <v>8</v>
      </c>
      <c r="C59" s="4" t="s">
        <v>21</v>
      </c>
      <c r="D59" s="4">
        <v>34</v>
      </c>
      <c r="E59" s="10">
        <v>44550</v>
      </c>
      <c r="F59" s="6">
        <v>60130</v>
      </c>
      <c r="G59" s="4" t="s">
        <v>16</v>
      </c>
      <c r="H59" s="4" t="s">
        <v>207</v>
      </c>
      <c r="I59" s="11">
        <f ca="1">(TODAY()-staff[[#This Row],[Date Joined]])/365</f>
        <v>4.5753424657534243</v>
      </c>
      <c r="J59" s="29">
        <f ca="1">ROUNDUP(IF(staff[[#This Row],[Tenure]]&gt;2,3%,2%)*staff[[#This Row],[Salary]],0)</f>
        <v>1804</v>
      </c>
      <c r="K59" s="4">
        <f>_xlfn.XLOOKUP(staff[[#This Row],[Rating]],'Rating map table'!A$2:A$6,'Rating map table'!B$2:B$6)</f>
        <v>3</v>
      </c>
    </row>
    <row r="60" spans="1:11" x14ac:dyDescent="0.3">
      <c r="A60" s="4" t="s">
        <v>37</v>
      </c>
      <c r="B60" s="4" t="s">
        <v>15</v>
      </c>
      <c r="C60" s="4" t="s">
        <v>9</v>
      </c>
      <c r="D60" s="4">
        <v>30</v>
      </c>
      <c r="E60" s="10">
        <v>44666</v>
      </c>
      <c r="F60" s="6">
        <v>60570</v>
      </c>
      <c r="G60" s="4" t="s">
        <v>16</v>
      </c>
      <c r="H60" s="4" t="s">
        <v>205</v>
      </c>
      <c r="I60" s="11">
        <f ca="1">(TODAY()-staff[[#This Row],[Date Joined]])/365</f>
        <v>4.2575342465753421</v>
      </c>
      <c r="J60" s="29">
        <f ca="1">ROUNDUP(IF(staff[[#This Row],[Tenure]]&gt;2,3%,2%)*staff[[#This Row],[Salary]],0)</f>
        <v>1818</v>
      </c>
      <c r="K60" s="4">
        <f>_xlfn.XLOOKUP(staff[[#This Row],[Rating]],'Rating map table'!A$2:A$6,'Rating map table'!B$2:B$6)</f>
        <v>3</v>
      </c>
    </row>
    <row r="61" spans="1:11" x14ac:dyDescent="0.3">
      <c r="A61" s="4" t="s">
        <v>131</v>
      </c>
      <c r="B61" s="4" t="s">
        <v>15</v>
      </c>
      <c r="C61" s="4" t="s">
        <v>9</v>
      </c>
      <c r="D61" s="4">
        <v>30</v>
      </c>
      <c r="E61" s="10">
        <v>44607</v>
      </c>
      <c r="F61" s="6">
        <v>60570</v>
      </c>
      <c r="G61" s="4" t="s">
        <v>16</v>
      </c>
      <c r="H61" s="4" t="s">
        <v>207</v>
      </c>
      <c r="I61" s="11">
        <f ca="1">(TODAY()-staff[[#This Row],[Date Joined]])/365</f>
        <v>4.419178082191781</v>
      </c>
      <c r="J61" s="29">
        <f ca="1">ROUNDUP(IF(staff[[#This Row],[Tenure]]&gt;2,3%,2%)*staff[[#This Row],[Salary]],0)</f>
        <v>1818</v>
      </c>
      <c r="K61" s="4">
        <f>_xlfn.XLOOKUP(staff[[#This Row],[Rating]],'Rating map table'!A$2:A$6,'Rating map table'!B$2:B$6)</f>
        <v>3</v>
      </c>
    </row>
    <row r="62" spans="1:11" x14ac:dyDescent="0.3">
      <c r="A62" s="4" t="s">
        <v>61</v>
      </c>
      <c r="B62" s="4" t="s">
        <v>8</v>
      </c>
      <c r="C62" s="4" t="s">
        <v>12</v>
      </c>
      <c r="D62" s="4">
        <v>24</v>
      </c>
      <c r="E62" s="10">
        <v>44148</v>
      </c>
      <c r="F62" s="6">
        <v>62780</v>
      </c>
      <c r="G62" s="4" t="s">
        <v>16</v>
      </c>
      <c r="H62" s="4" t="s">
        <v>205</v>
      </c>
      <c r="I62" s="11">
        <f ca="1">(TODAY()-staff[[#This Row],[Date Joined]])/365</f>
        <v>5.6767123287671231</v>
      </c>
      <c r="J62" s="29">
        <f ca="1">ROUNDUP(IF(staff[[#This Row],[Tenure]]&gt;2,3%,2%)*staff[[#This Row],[Salary]],0)</f>
        <v>1884</v>
      </c>
      <c r="K62" s="4">
        <f>_xlfn.XLOOKUP(staff[[#This Row],[Rating]],'Rating map table'!A$2:A$6,'Rating map table'!B$2:B$6)</f>
        <v>3</v>
      </c>
    </row>
    <row r="63" spans="1:11" x14ac:dyDescent="0.3">
      <c r="A63" s="4" t="s">
        <v>153</v>
      </c>
      <c r="B63" s="4" t="s">
        <v>8</v>
      </c>
      <c r="C63" s="4" t="s">
        <v>12</v>
      </c>
      <c r="D63" s="4">
        <v>24</v>
      </c>
      <c r="E63" s="10">
        <v>44087</v>
      </c>
      <c r="F63" s="6">
        <v>62780</v>
      </c>
      <c r="G63" s="4" t="s">
        <v>16</v>
      </c>
      <c r="H63" s="4" t="s">
        <v>207</v>
      </c>
      <c r="I63" s="11">
        <f ca="1">(TODAY()-staff[[#This Row],[Date Joined]])/365</f>
        <v>5.8438356164383558</v>
      </c>
      <c r="J63" s="29">
        <f ca="1">ROUNDUP(IF(staff[[#This Row],[Tenure]]&gt;2,3%,2%)*staff[[#This Row],[Salary]],0)</f>
        <v>1884</v>
      </c>
      <c r="K63" s="4">
        <f>_xlfn.XLOOKUP(staff[[#This Row],[Rating]],'Rating map table'!A$2:A$6,'Rating map table'!B$2:B$6)</f>
        <v>3</v>
      </c>
    </row>
    <row r="64" spans="1:11" x14ac:dyDescent="0.3">
      <c r="A64" s="4" t="s">
        <v>20</v>
      </c>
      <c r="B64" s="4" t="s">
        <v>206</v>
      </c>
      <c r="C64" s="4" t="s">
        <v>21</v>
      </c>
      <c r="D64" s="4">
        <v>30</v>
      </c>
      <c r="E64" s="10">
        <v>44597</v>
      </c>
      <c r="F64" s="6">
        <v>64000</v>
      </c>
      <c r="G64" s="4" t="s">
        <v>16</v>
      </c>
      <c r="H64" s="4" t="s">
        <v>205</v>
      </c>
      <c r="I64" s="11">
        <f ca="1">(TODAY()-staff[[#This Row],[Date Joined]])/365</f>
        <v>4.4465753424657537</v>
      </c>
      <c r="J64" s="29">
        <f ca="1">ROUNDUP(IF(staff[[#This Row],[Tenure]]&gt;2,3%,2%)*staff[[#This Row],[Salary]],0)</f>
        <v>1920</v>
      </c>
      <c r="K64" s="4">
        <f>_xlfn.XLOOKUP(staff[[#This Row],[Rating]],'Rating map table'!A$2:A$6,'Rating map table'!B$2:B$6)</f>
        <v>3</v>
      </c>
    </row>
    <row r="65" spans="1:11" x14ac:dyDescent="0.3">
      <c r="A65" s="4" t="s">
        <v>116</v>
      </c>
      <c r="B65" s="4" t="s">
        <v>206</v>
      </c>
      <c r="C65" s="4" t="s">
        <v>21</v>
      </c>
      <c r="D65" s="4">
        <v>30</v>
      </c>
      <c r="E65" s="10">
        <v>44535</v>
      </c>
      <c r="F65" s="6">
        <v>64000</v>
      </c>
      <c r="G65" s="4" t="s">
        <v>16</v>
      </c>
      <c r="H65" s="4" t="s">
        <v>207</v>
      </c>
      <c r="I65" s="11">
        <f ca="1">(TODAY()-staff[[#This Row],[Date Joined]])/365</f>
        <v>4.6164383561643838</v>
      </c>
      <c r="J65" s="29">
        <f ca="1">ROUNDUP(IF(staff[[#This Row],[Tenure]]&gt;2,3%,2%)*staff[[#This Row],[Salary]],0)</f>
        <v>1920</v>
      </c>
      <c r="K65" s="4">
        <f>_xlfn.XLOOKUP(staff[[#This Row],[Rating]],'Rating map table'!A$2:A$6,'Rating map table'!B$2:B$6)</f>
        <v>3</v>
      </c>
    </row>
    <row r="66" spans="1:11" x14ac:dyDescent="0.3">
      <c r="A66" s="4" t="s">
        <v>93</v>
      </c>
      <c r="B66" s="4" t="s">
        <v>8</v>
      </c>
      <c r="C66" s="4" t="s">
        <v>21</v>
      </c>
      <c r="D66" s="4">
        <v>33</v>
      </c>
      <c r="E66" s="10">
        <v>44067</v>
      </c>
      <c r="F66" s="6">
        <v>65360</v>
      </c>
      <c r="G66" s="4" t="s">
        <v>16</v>
      </c>
      <c r="H66" s="4" t="s">
        <v>205</v>
      </c>
      <c r="I66" s="11">
        <f ca="1">(TODAY()-staff[[#This Row],[Date Joined]])/365</f>
        <v>5.8986301369863012</v>
      </c>
      <c r="J66" s="29">
        <f ca="1">ROUNDUP(IF(staff[[#This Row],[Tenure]]&gt;2,3%,2%)*staff[[#This Row],[Salary]],0)</f>
        <v>1961</v>
      </c>
      <c r="K66" s="4">
        <f>_xlfn.XLOOKUP(staff[[#This Row],[Rating]],'Rating map table'!A$2:A$6,'Rating map table'!B$2:B$6)</f>
        <v>3</v>
      </c>
    </row>
    <row r="67" spans="1:11" x14ac:dyDescent="0.3">
      <c r="A67" s="4" t="s">
        <v>186</v>
      </c>
      <c r="B67" s="4" t="s">
        <v>8</v>
      </c>
      <c r="C67" s="4" t="s">
        <v>21</v>
      </c>
      <c r="D67" s="4">
        <v>33</v>
      </c>
      <c r="E67" s="10">
        <v>44006</v>
      </c>
      <c r="F67" s="6">
        <v>65360</v>
      </c>
      <c r="G67" s="4" t="s">
        <v>16</v>
      </c>
      <c r="H67" s="4" t="s">
        <v>207</v>
      </c>
      <c r="I67" s="11">
        <f ca="1">(TODAY()-staff[[#This Row],[Date Joined]])/365</f>
        <v>6.065753424657534</v>
      </c>
      <c r="J67" s="29">
        <f ca="1">ROUNDUP(IF(staff[[#This Row],[Tenure]]&gt;2,3%,2%)*staff[[#This Row],[Salary]],0)</f>
        <v>1961</v>
      </c>
      <c r="K67" s="4">
        <f>_xlfn.XLOOKUP(staff[[#This Row],[Rating]],'Rating map table'!A$2:A$6,'Rating map table'!B$2:B$6)</f>
        <v>3</v>
      </c>
    </row>
    <row r="68" spans="1:11" x14ac:dyDescent="0.3">
      <c r="A68" s="4" t="s">
        <v>76</v>
      </c>
      <c r="B68" s="4" t="s">
        <v>15</v>
      </c>
      <c r="C68" s="4" t="s">
        <v>19</v>
      </c>
      <c r="D68" s="4">
        <v>25</v>
      </c>
      <c r="E68" s="10">
        <v>44383</v>
      </c>
      <c r="F68" s="6">
        <v>65700</v>
      </c>
      <c r="G68" s="4" t="s">
        <v>16</v>
      </c>
      <c r="H68" s="4" t="s">
        <v>205</v>
      </c>
      <c r="I68" s="11">
        <f ca="1">(TODAY()-staff[[#This Row],[Date Joined]])/365</f>
        <v>5.0328767123287674</v>
      </c>
      <c r="J68" s="29">
        <f ca="1">ROUNDUP(IF(staff[[#This Row],[Tenure]]&gt;2,3%,2%)*staff[[#This Row],[Salary]],0)</f>
        <v>1971</v>
      </c>
      <c r="K68" s="4">
        <f>_xlfn.XLOOKUP(staff[[#This Row],[Rating]],'Rating map table'!A$2:A$6,'Rating map table'!B$2:B$6)</f>
        <v>3</v>
      </c>
    </row>
    <row r="69" spans="1:11" x14ac:dyDescent="0.3">
      <c r="A69" s="4" t="s">
        <v>168</v>
      </c>
      <c r="B69" s="4" t="s">
        <v>15</v>
      </c>
      <c r="C69" s="4" t="s">
        <v>19</v>
      </c>
      <c r="D69" s="4">
        <v>25</v>
      </c>
      <c r="E69" s="10">
        <v>44322</v>
      </c>
      <c r="F69" s="6">
        <v>65700</v>
      </c>
      <c r="G69" s="4" t="s">
        <v>16</v>
      </c>
      <c r="H69" s="4" t="s">
        <v>207</v>
      </c>
      <c r="I69" s="11">
        <f ca="1">(TODAY()-staff[[#This Row],[Date Joined]])/365</f>
        <v>5.2</v>
      </c>
      <c r="J69" s="29">
        <f ca="1">ROUNDUP(IF(staff[[#This Row],[Tenure]]&gt;2,3%,2%)*staff[[#This Row],[Salary]],0)</f>
        <v>1971</v>
      </c>
      <c r="K69" s="4">
        <f>_xlfn.XLOOKUP(staff[[#This Row],[Rating]],'Rating map table'!A$2:A$6,'Rating map table'!B$2:B$6)</f>
        <v>3</v>
      </c>
    </row>
    <row r="70" spans="1:11" x14ac:dyDescent="0.3">
      <c r="A70" s="4" t="s">
        <v>32</v>
      </c>
      <c r="B70" s="4" t="s">
        <v>8</v>
      </c>
      <c r="C70" s="4" t="s">
        <v>21</v>
      </c>
      <c r="D70" s="4">
        <v>21</v>
      </c>
      <c r="E70" s="10">
        <v>44317</v>
      </c>
      <c r="F70" s="6">
        <v>65920</v>
      </c>
      <c r="G70" s="4" t="s">
        <v>16</v>
      </c>
      <c r="H70" s="4" t="s">
        <v>205</v>
      </c>
      <c r="I70" s="11">
        <f ca="1">(TODAY()-staff[[#This Row],[Date Joined]])/365</f>
        <v>5.2136986301369861</v>
      </c>
      <c r="J70" s="29">
        <f ca="1">ROUNDUP(IF(staff[[#This Row],[Tenure]]&gt;2,3%,2%)*staff[[#This Row],[Salary]],0)</f>
        <v>1978</v>
      </c>
      <c r="K70" s="4">
        <f>_xlfn.XLOOKUP(staff[[#This Row],[Rating]],'Rating map table'!A$2:A$6,'Rating map table'!B$2:B$6)</f>
        <v>3</v>
      </c>
    </row>
    <row r="71" spans="1:11" x14ac:dyDescent="0.3">
      <c r="A71" s="4" t="s">
        <v>126</v>
      </c>
      <c r="B71" s="4" t="s">
        <v>8</v>
      </c>
      <c r="C71" s="4" t="s">
        <v>21</v>
      </c>
      <c r="D71" s="4">
        <v>21</v>
      </c>
      <c r="E71" s="10">
        <v>44256</v>
      </c>
      <c r="F71" s="6">
        <v>65920</v>
      </c>
      <c r="G71" s="4" t="s">
        <v>16</v>
      </c>
      <c r="H71" s="4" t="s">
        <v>207</v>
      </c>
      <c r="I71" s="11">
        <f ca="1">(TODAY()-staff[[#This Row],[Date Joined]])/365</f>
        <v>5.3808219178082188</v>
      </c>
      <c r="J71" s="29">
        <f ca="1">ROUNDUP(IF(staff[[#This Row],[Tenure]]&gt;2,3%,2%)*staff[[#This Row],[Salary]],0)</f>
        <v>1978</v>
      </c>
      <c r="K71" s="4">
        <f>_xlfn.XLOOKUP(staff[[#This Row],[Rating]],'Rating map table'!A$2:A$6,'Rating map table'!B$2:B$6)</f>
        <v>3</v>
      </c>
    </row>
    <row r="72" spans="1:11" x14ac:dyDescent="0.3">
      <c r="A72" s="4" t="s">
        <v>27</v>
      </c>
      <c r="B72" s="4" t="s">
        <v>8</v>
      </c>
      <c r="C72" s="4" t="s">
        <v>21</v>
      </c>
      <c r="D72" s="4">
        <v>30</v>
      </c>
      <c r="E72" s="10">
        <v>44389</v>
      </c>
      <c r="F72" s="6">
        <v>67910</v>
      </c>
      <c r="G72" s="4" t="s">
        <v>24</v>
      </c>
      <c r="H72" s="4" t="s">
        <v>205</v>
      </c>
      <c r="I72" s="11">
        <f ca="1">(TODAY()-staff[[#This Row],[Date Joined]])/365</f>
        <v>5.0164383561643833</v>
      </c>
      <c r="J72" s="29">
        <f ca="1">ROUNDUP(IF(staff[[#This Row],[Tenure]]&gt;2,3%,2%)*staff[[#This Row],[Salary]],0)</f>
        <v>2038</v>
      </c>
      <c r="K72" s="4">
        <f>_xlfn.XLOOKUP(staff[[#This Row],[Rating]],'Rating map table'!A$2:A$6,'Rating map table'!B$2:B$6)</f>
        <v>2</v>
      </c>
    </row>
    <row r="73" spans="1:11" x14ac:dyDescent="0.3">
      <c r="A73" s="4" t="s">
        <v>121</v>
      </c>
      <c r="B73" s="4" t="s">
        <v>8</v>
      </c>
      <c r="C73" s="4" t="s">
        <v>21</v>
      </c>
      <c r="D73" s="4">
        <v>30</v>
      </c>
      <c r="E73" s="10">
        <v>44328</v>
      </c>
      <c r="F73" s="6">
        <v>67910</v>
      </c>
      <c r="G73" s="4" t="s">
        <v>24</v>
      </c>
      <c r="H73" s="4" t="s">
        <v>207</v>
      </c>
      <c r="I73" s="11">
        <f ca="1">(TODAY()-staff[[#This Row],[Date Joined]])/365</f>
        <v>5.183561643835616</v>
      </c>
      <c r="J73" s="29">
        <f ca="1">ROUNDUP(IF(staff[[#This Row],[Tenure]]&gt;2,3%,2%)*staff[[#This Row],[Salary]],0)</f>
        <v>2038</v>
      </c>
      <c r="K73" s="4">
        <f>_xlfn.XLOOKUP(staff[[#This Row],[Rating]],'Rating map table'!A$2:A$6,'Rating map table'!B$2:B$6)</f>
        <v>2</v>
      </c>
    </row>
    <row r="74" spans="1:11" x14ac:dyDescent="0.3">
      <c r="A74" s="4" t="s">
        <v>45</v>
      </c>
      <c r="B74" s="4" t="s">
        <v>15</v>
      </c>
      <c r="C74" s="4" t="s">
        <v>9</v>
      </c>
      <c r="D74" s="4">
        <v>30</v>
      </c>
      <c r="E74" s="10">
        <v>44701</v>
      </c>
      <c r="F74" s="6">
        <v>67950</v>
      </c>
      <c r="G74" s="4" t="s">
        <v>16</v>
      </c>
      <c r="H74" s="4" t="s">
        <v>205</v>
      </c>
      <c r="I74" s="11">
        <f ca="1">(TODAY()-staff[[#This Row],[Date Joined]])/365</f>
        <v>4.161643835616438</v>
      </c>
      <c r="J74" s="29">
        <f ca="1">ROUNDUP(IF(staff[[#This Row],[Tenure]]&gt;2,3%,2%)*staff[[#This Row],[Salary]],0)</f>
        <v>2039</v>
      </c>
      <c r="K74" s="4">
        <f>_xlfn.XLOOKUP(staff[[#This Row],[Rating]],'Rating map table'!A$2:A$6,'Rating map table'!B$2:B$6)</f>
        <v>3</v>
      </c>
    </row>
    <row r="75" spans="1:11" x14ac:dyDescent="0.3">
      <c r="A75" s="4" t="s">
        <v>138</v>
      </c>
      <c r="B75" s="4" t="s">
        <v>15</v>
      </c>
      <c r="C75" s="4" t="s">
        <v>9</v>
      </c>
      <c r="D75" s="4">
        <v>30</v>
      </c>
      <c r="E75" s="10">
        <v>44640</v>
      </c>
      <c r="F75" s="6">
        <v>67950</v>
      </c>
      <c r="G75" s="4" t="s">
        <v>16</v>
      </c>
      <c r="H75" s="4" t="s">
        <v>207</v>
      </c>
      <c r="I75" s="11">
        <f ca="1">(TODAY()-staff[[#This Row],[Date Joined]])/365</f>
        <v>4.3287671232876717</v>
      </c>
      <c r="J75" s="29">
        <f ca="1">ROUNDUP(IF(staff[[#This Row],[Tenure]]&gt;2,3%,2%)*staff[[#This Row],[Salary]],0)</f>
        <v>2039</v>
      </c>
      <c r="K75" s="4">
        <f>_xlfn.XLOOKUP(staff[[#This Row],[Rating]],'Rating map table'!A$2:A$6,'Rating map table'!B$2:B$6)</f>
        <v>3</v>
      </c>
    </row>
    <row r="76" spans="1:11" x14ac:dyDescent="0.3">
      <c r="A76" s="4" t="s">
        <v>91</v>
      </c>
      <c r="B76" s="4" t="s">
        <v>8</v>
      </c>
      <c r="C76" s="4" t="s">
        <v>19</v>
      </c>
      <c r="D76" s="4">
        <v>20</v>
      </c>
      <c r="E76" s="10">
        <v>44537</v>
      </c>
      <c r="F76" s="6">
        <v>68900</v>
      </c>
      <c r="G76" s="4" t="s">
        <v>24</v>
      </c>
      <c r="H76" s="4" t="s">
        <v>205</v>
      </c>
      <c r="I76" s="11">
        <f ca="1">(TODAY()-staff[[#This Row],[Date Joined]])/365</f>
        <v>4.6109589041095891</v>
      </c>
      <c r="J76" s="29">
        <f ca="1">ROUNDUP(IF(staff[[#This Row],[Tenure]]&gt;2,3%,2%)*staff[[#This Row],[Salary]],0)</f>
        <v>2067</v>
      </c>
      <c r="K76" s="4">
        <f>_xlfn.XLOOKUP(staff[[#This Row],[Rating]],'Rating map table'!A$2:A$6,'Rating map table'!B$2:B$6)</f>
        <v>2</v>
      </c>
    </row>
    <row r="77" spans="1:11" x14ac:dyDescent="0.3">
      <c r="A77" s="4" t="s">
        <v>184</v>
      </c>
      <c r="B77" s="4" t="s">
        <v>8</v>
      </c>
      <c r="C77" s="4" t="s">
        <v>19</v>
      </c>
      <c r="D77" s="4">
        <v>20</v>
      </c>
      <c r="E77" s="10">
        <v>44476</v>
      </c>
      <c r="F77" s="6">
        <v>68900</v>
      </c>
      <c r="G77" s="4" t="s">
        <v>24</v>
      </c>
      <c r="H77" s="4" t="s">
        <v>207</v>
      </c>
      <c r="I77" s="11">
        <f ca="1">(TODAY()-staff[[#This Row],[Date Joined]])/365</f>
        <v>4.7780821917808218</v>
      </c>
      <c r="J77" s="29">
        <f ca="1">ROUNDUP(IF(staff[[#This Row],[Tenure]]&gt;2,3%,2%)*staff[[#This Row],[Salary]],0)</f>
        <v>2067</v>
      </c>
      <c r="K77" s="4">
        <f>_xlfn.XLOOKUP(staff[[#This Row],[Rating]],'Rating map table'!A$2:A$6,'Rating map table'!B$2:B$6)</f>
        <v>2</v>
      </c>
    </row>
    <row r="78" spans="1:11" x14ac:dyDescent="0.3">
      <c r="A78" s="4" t="s">
        <v>97</v>
      </c>
      <c r="B78" s="4" t="s">
        <v>15</v>
      </c>
      <c r="C78" s="4" t="s">
        <v>12</v>
      </c>
      <c r="D78" s="4">
        <v>37</v>
      </c>
      <c r="E78" s="10">
        <v>44701</v>
      </c>
      <c r="F78" s="6">
        <v>69070</v>
      </c>
      <c r="G78" s="4" t="s">
        <v>16</v>
      </c>
      <c r="H78" s="4" t="s">
        <v>205</v>
      </c>
      <c r="I78" s="11">
        <f ca="1">(TODAY()-staff[[#This Row],[Date Joined]])/365</f>
        <v>4.161643835616438</v>
      </c>
      <c r="J78" s="29">
        <f ca="1">ROUNDUP(IF(staff[[#This Row],[Tenure]]&gt;2,3%,2%)*staff[[#This Row],[Salary]],0)</f>
        <v>2073</v>
      </c>
      <c r="K78" s="4">
        <f>_xlfn.XLOOKUP(staff[[#This Row],[Rating]],'Rating map table'!A$2:A$6,'Rating map table'!B$2:B$6)</f>
        <v>3</v>
      </c>
    </row>
    <row r="79" spans="1:11" x14ac:dyDescent="0.3">
      <c r="A79" s="4" t="s">
        <v>190</v>
      </c>
      <c r="B79" s="4" t="s">
        <v>15</v>
      </c>
      <c r="C79" s="4" t="s">
        <v>12</v>
      </c>
      <c r="D79" s="4">
        <v>37</v>
      </c>
      <c r="E79" s="10">
        <v>44640</v>
      </c>
      <c r="F79" s="6">
        <v>69070</v>
      </c>
      <c r="G79" s="4" t="s">
        <v>16</v>
      </c>
      <c r="H79" s="4" t="s">
        <v>207</v>
      </c>
      <c r="I79" s="11">
        <f ca="1">(TODAY()-staff[[#This Row],[Date Joined]])/365</f>
        <v>4.3287671232876717</v>
      </c>
      <c r="J79" s="29">
        <f ca="1">ROUNDUP(IF(staff[[#This Row],[Tenure]]&gt;2,3%,2%)*staff[[#This Row],[Salary]],0)</f>
        <v>2073</v>
      </c>
      <c r="K79" s="4">
        <f>_xlfn.XLOOKUP(staff[[#This Row],[Rating]],'Rating map table'!A$2:A$6,'Rating map table'!B$2:B$6)</f>
        <v>3</v>
      </c>
    </row>
    <row r="80" spans="1:11" x14ac:dyDescent="0.3">
      <c r="A80" s="4" t="s">
        <v>25</v>
      </c>
      <c r="B80" s="4" t="s">
        <v>15</v>
      </c>
      <c r="C80" s="4" t="s">
        <v>12</v>
      </c>
      <c r="D80" s="4">
        <v>30</v>
      </c>
      <c r="E80" s="10">
        <v>44273</v>
      </c>
      <c r="F80" s="6">
        <v>69120</v>
      </c>
      <c r="G80" s="4" t="s">
        <v>16</v>
      </c>
      <c r="H80" s="4" t="s">
        <v>205</v>
      </c>
      <c r="I80" s="11">
        <f ca="1">(TODAY()-staff[[#This Row],[Date Joined]])/365</f>
        <v>5.3342465753424655</v>
      </c>
      <c r="J80" s="29">
        <f ca="1">ROUNDUP(IF(staff[[#This Row],[Tenure]]&gt;2,3%,2%)*staff[[#This Row],[Salary]],0)</f>
        <v>2074</v>
      </c>
      <c r="K80" s="4">
        <f>_xlfn.XLOOKUP(staff[[#This Row],[Rating]],'Rating map table'!A$2:A$6,'Rating map table'!B$2:B$6)</f>
        <v>3</v>
      </c>
    </row>
    <row r="81" spans="1:11" x14ac:dyDescent="0.3">
      <c r="A81" s="4" t="s">
        <v>119</v>
      </c>
      <c r="B81" s="4" t="s">
        <v>15</v>
      </c>
      <c r="C81" s="4" t="s">
        <v>12</v>
      </c>
      <c r="D81" s="4">
        <v>30</v>
      </c>
      <c r="E81" s="10">
        <v>44214</v>
      </c>
      <c r="F81" s="6">
        <v>69120</v>
      </c>
      <c r="G81" s="4" t="s">
        <v>16</v>
      </c>
      <c r="H81" s="4" t="s">
        <v>207</v>
      </c>
      <c r="I81" s="11">
        <f ca="1">(TODAY()-staff[[#This Row],[Date Joined]])/365</f>
        <v>5.4958904109589044</v>
      </c>
      <c r="J81" s="29">
        <f ca="1">ROUNDUP(IF(staff[[#This Row],[Tenure]]&gt;2,3%,2%)*staff[[#This Row],[Salary]],0)</f>
        <v>2074</v>
      </c>
      <c r="K81" s="4">
        <f>_xlfn.XLOOKUP(staff[[#This Row],[Rating]],'Rating map table'!A$2:A$6,'Rating map table'!B$2:B$6)</f>
        <v>3</v>
      </c>
    </row>
    <row r="82" spans="1:11" x14ac:dyDescent="0.3">
      <c r="A82" s="4" t="s">
        <v>67</v>
      </c>
      <c r="B82" s="4" t="s">
        <v>15</v>
      </c>
      <c r="C82" s="4" t="s">
        <v>12</v>
      </c>
      <c r="D82" s="4">
        <v>30</v>
      </c>
      <c r="E82" s="10">
        <v>44850</v>
      </c>
      <c r="F82" s="6">
        <v>69710</v>
      </c>
      <c r="G82" s="4" t="s">
        <v>16</v>
      </c>
      <c r="H82" s="4" t="s">
        <v>205</v>
      </c>
      <c r="I82" s="11">
        <f ca="1">(TODAY()-staff[[#This Row],[Date Joined]])/365</f>
        <v>3.7534246575342465</v>
      </c>
      <c r="J82" s="29">
        <f ca="1">ROUNDUP(IF(staff[[#This Row],[Tenure]]&gt;2,3%,2%)*staff[[#This Row],[Salary]],0)</f>
        <v>2092</v>
      </c>
      <c r="K82" s="4">
        <f>_xlfn.XLOOKUP(staff[[#This Row],[Rating]],'Rating map table'!A$2:A$6,'Rating map table'!B$2:B$6)</f>
        <v>3</v>
      </c>
    </row>
    <row r="83" spans="1:11" x14ac:dyDescent="0.3">
      <c r="A83" s="4" t="s">
        <v>159</v>
      </c>
      <c r="B83" s="4" t="s">
        <v>15</v>
      </c>
      <c r="C83" s="4" t="s">
        <v>12</v>
      </c>
      <c r="D83" s="4">
        <v>30</v>
      </c>
      <c r="E83" s="10">
        <v>44789</v>
      </c>
      <c r="F83" s="6">
        <v>69710</v>
      </c>
      <c r="G83" s="4" t="s">
        <v>16</v>
      </c>
      <c r="H83" s="4" t="s">
        <v>207</v>
      </c>
      <c r="I83" s="11">
        <f ca="1">(TODAY()-staff[[#This Row],[Date Joined]])/365</f>
        <v>3.9205479452054797</v>
      </c>
      <c r="J83" s="29">
        <f ca="1">ROUNDUP(IF(staff[[#This Row],[Tenure]]&gt;2,3%,2%)*staff[[#This Row],[Salary]],0)</f>
        <v>2092</v>
      </c>
      <c r="K83" s="4">
        <f>_xlfn.XLOOKUP(staff[[#This Row],[Rating]],'Rating map table'!A$2:A$6,'Rating map table'!B$2:B$6)</f>
        <v>3</v>
      </c>
    </row>
    <row r="84" spans="1:11" x14ac:dyDescent="0.3">
      <c r="A84" s="4" t="s">
        <v>90</v>
      </c>
      <c r="B84" s="4" t="s">
        <v>15</v>
      </c>
      <c r="C84" s="4" t="s">
        <v>21</v>
      </c>
      <c r="D84" s="4">
        <v>42</v>
      </c>
      <c r="E84" s="10">
        <v>44731</v>
      </c>
      <c r="F84" s="6">
        <v>70270</v>
      </c>
      <c r="G84" s="4" t="s">
        <v>24</v>
      </c>
      <c r="H84" s="4" t="s">
        <v>205</v>
      </c>
      <c r="I84" s="11">
        <f ca="1">(TODAY()-staff[[#This Row],[Date Joined]])/365</f>
        <v>4.0794520547945208</v>
      </c>
      <c r="J84" s="29">
        <f ca="1">ROUNDUP(IF(staff[[#This Row],[Tenure]]&gt;2,3%,2%)*staff[[#This Row],[Salary]],0)</f>
        <v>2109</v>
      </c>
      <c r="K84" s="4">
        <f>_xlfn.XLOOKUP(staff[[#This Row],[Rating]],'Rating map table'!A$2:A$6,'Rating map table'!B$2:B$6)</f>
        <v>2</v>
      </c>
    </row>
    <row r="85" spans="1:11" x14ac:dyDescent="0.3">
      <c r="A85" s="4" t="s">
        <v>183</v>
      </c>
      <c r="B85" s="4" t="s">
        <v>15</v>
      </c>
      <c r="C85" s="4" t="s">
        <v>21</v>
      </c>
      <c r="D85" s="4">
        <v>42</v>
      </c>
      <c r="E85" s="10">
        <v>44670</v>
      </c>
      <c r="F85" s="6">
        <v>70270</v>
      </c>
      <c r="G85" s="4" t="s">
        <v>24</v>
      </c>
      <c r="H85" s="4" t="s">
        <v>207</v>
      </c>
      <c r="I85" s="11">
        <f ca="1">(TODAY()-staff[[#This Row],[Date Joined]])/365</f>
        <v>4.2465753424657535</v>
      </c>
      <c r="J85" s="29">
        <f ca="1">ROUNDUP(IF(staff[[#This Row],[Tenure]]&gt;2,3%,2%)*staff[[#This Row],[Salary]],0)</f>
        <v>2109</v>
      </c>
      <c r="K85" s="4">
        <f>_xlfn.XLOOKUP(staff[[#This Row],[Rating]],'Rating map table'!A$2:A$6,'Rating map table'!B$2:B$6)</f>
        <v>2</v>
      </c>
    </row>
    <row r="86" spans="1:11" x14ac:dyDescent="0.3">
      <c r="A86" s="4" t="s">
        <v>70</v>
      </c>
      <c r="B86" s="4" t="s">
        <v>15</v>
      </c>
      <c r="C86" s="4" t="s">
        <v>9</v>
      </c>
      <c r="D86" s="4">
        <v>46</v>
      </c>
      <c r="E86" s="10">
        <v>44758</v>
      </c>
      <c r="F86" s="6">
        <v>70610</v>
      </c>
      <c r="G86" s="4" t="s">
        <v>16</v>
      </c>
      <c r="H86" s="4" t="s">
        <v>205</v>
      </c>
      <c r="I86" s="11">
        <f ca="1">(TODAY()-staff[[#This Row],[Date Joined]])/365</f>
        <v>4.0054794520547947</v>
      </c>
      <c r="J86" s="29">
        <f ca="1">ROUNDUP(IF(staff[[#This Row],[Tenure]]&gt;2,3%,2%)*staff[[#This Row],[Salary]],0)</f>
        <v>2119</v>
      </c>
      <c r="K86" s="4">
        <f>_xlfn.XLOOKUP(staff[[#This Row],[Rating]],'Rating map table'!A$2:A$6,'Rating map table'!B$2:B$6)</f>
        <v>3</v>
      </c>
    </row>
    <row r="87" spans="1:11" x14ac:dyDescent="0.3">
      <c r="A87" s="4" t="s">
        <v>162</v>
      </c>
      <c r="B87" s="4" t="s">
        <v>15</v>
      </c>
      <c r="C87" s="4" t="s">
        <v>9</v>
      </c>
      <c r="D87" s="4">
        <v>46</v>
      </c>
      <c r="E87" s="10">
        <v>44697</v>
      </c>
      <c r="F87" s="6">
        <v>70610</v>
      </c>
      <c r="G87" s="4" t="s">
        <v>16</v>
      </c>
      <c r="H87" s="4" t="s">
        <v>207</v>
      </c>
      <c r="I87" s="11">
        <f ca="1">(TODAY()-staff[[#This Row],[Date Joined]])/365</f>
        <v>4.1726027397260275</v>
      </c>
      <c r="J87" s="29">
        <f ca="1">ROUNDUP(IF(staff[[#This Row],[Tenure]]&gt;2,3%,2%)*staff[[#This Row],[Salary]],0)</f>
        <v>2119</v>
      </c>
      <c r="K87" s="4">
        <f>_xlfn.XLOOKUP(staff[[#This Row],[Rating]],'Rating map table'!A$2:A$6,'Rating map table'!B$2:B$6)</f>
        <v>3</v>
      </c>
    </row>
    <row r="88" spans="1:11" x14ac:dyDescent="0.3">
      <c r="A88" s="4" t="s">
        <v>94</v>
      </c>
      <c r="B88" s="4" t="s">
        <v>15</v>
      </c>
      <c r="C88" s="4" t="s">
        <v>21</v>
      </c>
      <c r="D88" s="4">
        <v>36</v>
      </c>
      <c r="E88" s="10">
        <v>44333</v>
      </c>
      <c r="F88" s="6">
        <v>71380</v>
      </c>
      <c r="G88" s="4" t="s">
        <v>16</v>
      </c>
      <c r="H88" s="4" t="s">
        <v>205</v>
      </c>
      <c r="I88" s="11">
        <f ca="1">(TODAY()-staff[[#This Row],[Date Joined]])/365</f>
        <v>5.1698630136986301</v>
      </c>
      <c r="J88" s="29">
        <f ca="1">ROUNDUP(IF(staff[[#This Row],[Tenure]]&gt;2,3%,2%)*staff[[#This Row],[Salary]],0)</f>
        <v>2142</v>
      </c>
      <c r="K88" s="4">
        <f>_xlfn.XLOOKUP(staff[[#This Row],[Rating]],'Rating map table'!A$2:A$6,'Rating map table'!B$2:B$6)</f>
        <v>3</v>
      </c>
    </row>
    <row r="89" spans="1:11" x14ac:dyDescent="0.3">
      <c r="A89" s="4" t="s">
        <v>187</v>
      </c>
      <c r="B89" s="4" t="s">
        <v>15</v>
      </c>
      <c r="C89" s="4" t="s">
        <v>21</v>
      </c>
      <c r="D89" s="4">
        <v>36</v>
      </c>
      <c r="E89" s="10">
        <v>44272</v>
      </c>
      <c r="F89" s="6">
        <v>71380</v>
      </c>
      <c r="G89" s="4" t="s">
        <v>16</v>
      </c>
      <c r="H89" s="4" t="s">
        <v>207</v>
      </c>
      <c r="I89" s="11">
        <f ca="1">(TODAY()-staff[[#This Row],[Date Joined]])/365</f>
        <v>5.3369863013698629</v>
      </c>
      <c r="J89" s="29">
        <f ca="1">ROUNDUP(IF(staff[[#This Row],[Tenure]]&gt;2,3%,2%)*staff[[#This Row],[Salary]],0)</f>
        <v>2142</v>
      </c>
      <c r="K89" s="4">
        <f>_xlfn.XLOOKUP(staff[[#This Row],[Rating]],'Rating map table'!A$2:A$6,'Rating map table'!B$2:B$6)</f>
        <v>3</v>
      </c>
    </row>
    <row r="90" spans="1:11" x14ac:dyDescent="0.3">
      <c r="A90" s="4" t="s">
        <v>18</v>
      </c>
      <c r="B90" s="4" t="s">
        <v>15</v>
      </c>
      <c r="C90" s="4" t="s">
        <v>19</v>
      </c>
      <c r="D90" s="4">
        <v>33</v>
      </c>
      <c r="E90" s="10">
        <v>44385</v>
      </c>
      <c r="F90" s="6">
        <v>74550</v>
      </c>
      <c r="G90" s="4" t="s">
        <v>16</v>
      </c>
      <c r="H90" s="4" t="s">
        <v>205</v>
      </c>
      <c r="I90" s="11">
        <f ca="1">(TODAY()-staff[[#This Row],[Date Joined]])/365</f>
        <v>5.0273972602739727</v>
      </c>
      <c r="J90" s="29">
        <f ca="1">ROUNDUP(IF(staff[[#This Row],[Tenure]]&gt;2,3%,2%)*staff[[#This Row],[Salary]],0)</f>
        <v>2237</v>
      </c>
      <c r="K90" s="4">
        <f>_xlfn.XLOOKUP(staff[[#This Row],[Rating]],'Rating map table'!A$2:A$6,'Rating map table'!B$2:B$6)</f>
        <v>3</v>
      </c>
    </row>
    <row r="91" spans="1:11" x14ac:dyDescent="0.3">
      <c r="A91" s="4" t="s">
        <v>115</v>
      </c>
      <c r="B91" s="4" t="s">
        <v>15</v>
      </c>
      <c r="C91" s="4" t="s">
        <v>19</v>
      </c>
      <c r="D91" s="4">
        <v>33</v>
      </c>
      <c r="E91" s="10">
        <v>44324</v>
      </c>
      <c r="F91" s="6">
        <v>74550</v>
      </c>
      <c r="G91" s="4" t="s">
        <v>16</v>
      </c>
      <c r="H91" s="4" t="s">
        <v>207</v>
      </c>
      <c r="I91" s="11">
        <f ca="1">(TODAY()-staff[[#This Row],[Date Joined]])/365</f>
        <v>5.1945205479452055</v>
      </c>
      <c r="J91" s="29">
        <f ca="1">ROUNDUP(IF(staff[[#This Row],[Tenure]]&gt;2,3%,2%)*staff[[#This Row],[Salary]],0)</f>
        <v>2237</v>
      </c>
      <c r="K91" s="4">
        <f>_xlfn.XLOOKUP(staff[[#This Row],[Rating]],'Rating map table'!A$2:A$6,'Rating map table'!B$2:B$6)</f>
        <v>3</v>
      </c>
    </row>
    <row r="92" spans="1:11" x14ac:dyDescent="0.3">
      <c r="A92" s="4" t="s">
        <v>7</v>
      </c>
      <c r="B92" s="4" t="s">
        <v>8</v>
      </c>
      <c r="C92" s="4" t="s">
        <v>9</v>
      </c>
      <c r="D92" s="4">
        <v>42</v>
      </c>
      <c r="E92" s="10">
        <v>44779</v>
      </c>
      <c r="F92" s="6">
        <v>75000</v>
      </c>
      <c r="G92" s="4" t="s">
        <v>10</v>
      </c>
      <c r="H92" s="4" t="s">
        <v>205</v>
      </c>
      <c r="I92" s="11">
        <f ca="1">(TODAY()-staff[[#This Row],[Date Joined]])/365</f>
        <v>3.9479452054794519</v>
      </c>
      <c r="J92" s="29">
        <f ca="1">ROUNDUP(IF(staff[[#This Row],[Tenure]]&gt;2,3%,2%)*staff[[#This Row],[Salary]],0)</f>
        <v>2250</v>
      </c>
      <c r="K92" s="4">
        <f>_xlfn.XLOOKUP(staff[[#This Row],[Rating]],'Rating map table'!A$2:A$6,'Rating map table'!B$2:B$6)</f>
        <v>5</v>
      </c>
    </row>
    <row r="93" spans="1:11" x14ac:dyDescent="0.3">
      <c r="A93" s="4" t="s">
        <v>111</v>
      </c>
      <c r="B93" s="4" t="s">
        <v>8</v>
      </c>
      <c r="C93" s="4" t="s">
        <v>9</v>
      </c>
      <c r="D93" s="4">
        <v>42</v>
      </c>
      <c r="E93" s="10">
        <v>44718</v>
      </c>
      <c r="F93" s="6">
        <v>75000</v>
      </c>
      <c r="G93" s="4" t="s">
        <v>10</v>
      </c>
      <c r="H93" s="4" t="s">
        <v>207</v>
      </c>
      <c r="I93" s="11">
        <f ca="1">(TODAY()-staff[[#This Row],[Date Joined]])/365</f>
        <v>4.1150684931506847</v>
      </c>
      <c r="J93" s="29">
        <f ca="1">ROUNDUP(IF(staff[[#This Row],[Tenure]]&gt;2,3%,2%)*staff[[#This Row],[Salary]],0)</f>
        <v>2250</v>
      </c>
      <c r="K93" s="4">
        <f>_xlfn.XLOOKUP(staff[[#This Row],[Rating]],'Rating map table'!A$2:A$6,'Rating map table'!B$2:B$6)</f>
        <v>5</v>
      </c>
    </row>
    <row r="94" spans="1:11" x14ac:dyDescent="0.3">
      <c r="A94" s="4" t="s">
        <v>95</v>
      </c>
      <c r="B94" s="4" t="s">
        <v>8</v>
      </c>
      <c r="C94" s="4" t="s">
        <v>12</v>
      </c>
      <c r="D94" s="4">
        <v>33</v>
      </c>
      <c r="E94" s="10">
        <v>44312</v>
      </c>
      <c r="F94" s="6">
        <v>75280</v>
      </c>
      <c r="G94" s="4" t="s">
        <v>16</v>
      </c>
      <c r="H94" s="4" t="s">
        <v>205</v>
      </c>
      <c r="I94" s="11">
        <f ca="1">(TODAY()-staff[[#This Row],[Date Joined]])/365</f>
        <v>5.2273972602739729</v>
      </c>
      <c r="J94" s="29">
        <f ca="1">ROUNDUP(IF(staff[[#This Row],[Tenure]]&gt;2,3%,2%)*staff[[#This Row],[Salary]],0)</f>
        <v>2259</v>
      </c>
      <c r="K94" s="4">
        <f>_xlfn.XLOOKUP(staff[[#This Row],[Rating]],'Rating map table'!A$2:A$6,'Rating map table'!B$2:B$6)</f>
        <v>3</v>
      </c>
    </row>
    <row r="95" spans="1:11" x14ac:dyDescent="0.3">
      <c r="A95" s="4" t="s">
        <v>188</v>
      </c>
      <c r="B95" s="4" t="s">
        <v>8</v>
      </c>
      <c r="C95" s="4" t="s">
        <v>12</v>
      </c>
      <c r="D95" s="4">
        <v>33</v>
      </c>
      <c r="E95" s="10">
        <v>44253</v>
      </c>
      <c r="F95" s="6">
        <v>75280</v>
      </c>
      <c r="G95" s="4" t="s">
        <v>16</v>
      </c>
      <c r="H95" s="4" t="s">
        <v>207</v>
      </c>
      <c r="I95" s="11">
        <f ca="1">(TODAY()-staff[[#This Row],[Date Joined]])/365</f>
        <v>5.3890410958904109</v>
      </c>
      <c r="J95" s="29">
        <f ca="1">ROUNDUP(IF(staff[[#This Row],[Tenure]]&gt;2,3%,2%)*staff[[#This Row],[Salary]],0)</f>
        <v>2259</v>
      </c>
      <c r="K95" s="4">
        <f>_xlfn.XLOOKUP(staff[[#This Row],[Rating]],'Rating map table'!A$2:A$6,'Rating map table'!B$2:B$6)</f>
        <v>3</v>
      </c>
    </row>
    <row r="96" spans="1:11" x14ac:dyDescent="0.3">
      <c r="A96" s="4" t="s">
        <v>41</v>
      </c>
      <c r="B96" s="4" t="s">
        <v>8</v>
      </c>
      <c r="C96" s="4" t="s">
        <v>12</v>
      </c>
      <c r="D96" s="4">
        <v>33</v>
      </c>
      <c r="E96" s="10">
        <v>44374</v>
      </c>
      <c r="F96" s="6">
        <v>75480</v>
      </c>
      <c r="G96" s="4" t="s">
        <v>42</v>
      </c>
      <c r="H96" s="4" t="s">
        <v>205</v>
      </c>
      <c r="I96" s="11">
        <f ca="1">(TODAY()-staff[[#This Row],[Date Joined]])/365</f>
        <v>5.0575342465753428</v>
      </c>
      <c r="J96" s="29">
        <f ca="1">ROUNDUP(IF(staff[[#This Row],[Tenure]]&gt;2,3%,2%)*staff[[#This Row],[Salary]],0)</f>
        <v>2265</v>
      </c>
      <c r="K96" s="4">
        <f>_xlfn.XLOOKUP(staff[[#This Row],[Rating]],'Rating map table'!A$2:A$6,'Rating map table'!B$2:B$6)</f>
        <v>1</v>
      </c>
    </row>
    <row r="97" spans="1:11" x14ac:dyDescent="0.3">
      <c r="A97" s="4" t="s">
        <v>135</v>
      </c>
      <c r="B97" s="4" t="s">
        <v>8</v>
      </c>
      <c r="C97" s="4" t="s">
        <v>12</v>
      </c>
      <c r="D97" s="4">
        <v>33</v>
      </c>
      <c r="E97" s="10">
        <v>44313</v>
      </c>
      <c r="F97" s="6">
        <v>75480</v>
      </c>
      <c r="G97" s="4" t="s">
        <v>42</v>
      </c>
      <c r="H97" s="4" t="s">
        <v>207</v>
      </c>
      <c r="I97" s="11">
        <f ca="1">(TODAY()-staff[[#This Row],[Date Joined]])/365</f>
        <v>5.2246575342465755</v>
      </c>
      <c r="J97" s="29">
        <f ca="1">ROUNDUP(IF(staff[[#This Row],[Tenure]]&gt;2,3%,2%)*staff[[#This Row],[Salary]],0)</f>
        <v>2265</v>
      </c>
      <c r="K97" s="4">
        <f>_xlfn.XLOOKUP(staff[[#This Row],[Rating]],'Rating map table'!A$2:A$6,'Rating map table'!B$2:B$6)</f>
        <v>1</v>
      </c>
    </row>
    <row r="98" spans="1:11" x14ac:dyDescent="0.3">
      <c r="A98" s="4" t="s">
        <v>78</v>
      </c>
      <c r="B98" s="4" t="s">
        <v>15</v>
      </c>
      <c r="C98" s="4" t="s">
        <v>56</v>
      </c>
      <c r="D98" s="4">
        <v>21</v>
      </c>
      <c r="E98" s="10">
        <v>44242</v>
      </c>
      <c r="F98" s="6">
        <v>75880</v>
      </c>
      <c r="G98" s="4" t="s">
        <v>16</v>
      </c>
      <c r="H98" s="4" t="s">
        <v>205</v>
      </c>
      <c r="I98" s="11">
        <f ca="1">(TODAY()-staff[[#This Row],[Date Joined]])/365</f>
        <v>5.419178082191781</v>
      </c>
      <c r="J98" s="29">
        <f ca="1">ROUNDUP(IF(staff[[#This Row],[Tenure]]&gt;2,3%,2%)*staff[[#This Row],[Salary]],0)</f>
        <v>2277</v>
      </c>
      <c r="K98" s="4">
        <f>_xlfn.XLOOKUP(staff[[#This Row],[Rating]],'Rating map table'!A$2:A$6,'Rating map table'!B$2:B$6)</f>
        <v>3</v>
      </c>
    </row>
    <row r="99" spans="1:11" x14ac:dyDescent="0.3">
      <c r="A99" s="4" t="s">
        <v>170</v>
      </c>
      <c r="B99" s="4" t="s">
        <v>15</v>
      </c>
      <c r="C99" s="4" t="s">
        <v>56</v>
      </c>
      <c r="D99" s="4">
        <v>21</v>
      </c>
      <c r="E99" s="10">
        <v>44180</v>
      </c>
      <c r="F99" s="6">
        <v>75880</v>
      </c>
      <c r="G99" s="4" t="s">
        <v>16</v>
      </c>
      <c r="H99" s="4" t="s">
        <v>207</v>
      </c>
      <c r="I99" s="11">
        <f ca="1">(TODAY()-staff[[#This Row],[Date Joined]])/365</f>
        <v>5.5890410958904111</v>
      </c>
      <c r="J99" s="29">
        <f ca="1">ROUNDUP(IF(staff[[#This Row],[Tenure]]&gt;2,3%,2%)*staff[[#This Row],[Salary]],0)</f>
        <v>2277</v>
      </c>
      <c r="K99" s="4">
        <f>_xlfn.XLOOKUP(staff[[#This Row],[Rating]],'Rating map table'!A$2:A$6,'Rating map table'!B$2:B$6)</f>
        <v>3</v>
      </c>
    </row>
    <row r="100" spans="1:11" x14ac:dyDescent="0.3">
      <c r="A100" s="4" t="s">
        <v>35</v>
      </c>
      <c r="B100" s="4" t="s">
        <v>8</v>
      </c>
      <c r="C100" s="4" t="s">
        <v>21</v>
      </c>
      <c r="D100" s="4">
        <v>28</v>
      </c>
      <c r="E100" s="10">
        <v>44185</v>
      </c>
      <c r="F100" s="6">
        <v>75970</v>
      </c>
      <c r="G100" s="4" t="s">
        <v>16</v>
      </c>
      <c r="H100" s="4" t="s">
        <v>205</v>
      </c>
      <c r="I100" s="11">
        <f ca="1">(TODAY()-staff[[#This Row],[Date Joined]])/365</f>
        <v>5.5753424657534243</v>
      </c>
      <c r="J100" s="29">
        <f ca="1">ROUNDUP(IF(staff[[#This Row],[Tenure]]&gt;2,3%,2%)*staff[[#This Row],[Salary]],0)</f>
        <v>2280</v>
      </c>
      <c r="K100" s="4">
        <f>_xlfn.XLOOKUP(staff[[#This Row],[Rating]],'Rating map table'!A$2:A$6,'Rating map table'!B$2:B$6)</f>
        <v>3</v>
      </c>
    </row>
    <row r="101" spans="1:11" x14ac:dyDescent="0.3">
      <c r="A101" s="4" t="s">
        <v>129</v>
      </c>
      <c r="B101" s="4" t="s">
        <v>8</v>
      </c>
      <c r="C101" s="4" t="s">
        <v>21</v>
      </c>
      <c r="D101" s="4">
        <v>28</v>
      </c>
      <c r="E101" s="10">
        <v>44124</v>
      </c>
      <c r="F101" s="6">
        <v>75970</v>
      </c>
      <c r="G101" s="4" t="s">
        <v>16</v>
      </c>
      <c r="H101" s="4" t="s">
        <v>207</v>
      </c>
      <c r="I101" s="11">
        <f ca="1">(TODAY()-staff[[#This Row],[Date Joined]])/365</f>
        <v>5.7424657534246579</v>
      </c>
      <c r="J101" s="29">
        <f ca="1">ROUNDUP(IF(staff[[#This Row],[Tenure]]&gt;2,3%,2%)*staff[[#This Row],[Salary]],0)</f>
        <v>2280</v>
      </c>
      <c r="K101" s="4">
        <f>_xlfn.XLOOKUP(staff[[#This Row],[Rating]],'Rating map table'!A$2:A$6,'Rating map table'!B$2:B$6)</f>
        <v>3</v>
      </c>
    </row>
    <row r="102" spans="1:11" x14ac:dyDescent="0.3">
      <c r="A102" s="4" t="s">
        <v>62</v>
      </c>
      <c r="B102" s="4" t="s">
        <v>8</v>
      </c>
      <c r="C102" s="4" t="s">
        <v>9</v>
      </c>
      <c r="D102" s="4">
        <v>22</v>
      </c>
      <c r="E102" s="10">
        <v>44450</v>
      </c>
      <c r="F102" s="6">
        <v>76900</v>
      </c>
      <c r="G102" s="4" t="s">
        <v>13</v>
      </c>
      <c r="H102" s="4" t="s">
        <v>205</v>
      </c>
      <c r="I102" s="11">
        <f ca="1">(TODAY()-staff[[#This Row],[Date Joined]])/365</f>
        <v>4.8493150684931505</v>
      </c>
      <c r="J102" s="29">
        <f ca="1">ROUNDUP(IF(staff[[#This Row],[Tenure]]&gt;2,3%,2%)*staff[[#This Row],[Salary]],0)</f>
        <v>2307</v>
      </c>
      <c r="K102" s="4">
        <f>_xlfn.XLOOKUP(staff[[#This Row],[Rating]],'Rating map table'!A$2:A$6,'Rating map table'!B$2:B$6)</f>
        <v>4</v>
      </c>
    </row>
    <row r="103" spans="1:11" x14ac:dyDescent="0.3">
      <c r="A103" s="4" t="s">
        <v>154</v>
      </c>
      <c r="B103" s="4" t="s">
        <v>8</v>
      </c>
      <c r="C103" s="4" t="s">
        <v>9</v>
      </c>
      <c r="D103" s="4">
        <v>22</v>
      </c>
      <c r="E103" s="10">
        <v>44388</v>
      </c>
      <c r="F103" s="6">
        <v>76900</v>
      </c>
      <c r="G103" s="4" t="s">
        <v>13</v>
      </c>
      <c r="H103" s="4" t="s">
        <v>207</v>
      </c>
      <c r="I103" s="11">
        <f ca="1">(TODAY()-staff[[#This Row],[Date Joined]])/365</f>
        <v>5.0191780821917806</v>
      </c>
      <c r="J103" s="29">
        <f ca="1">ROUNDUP(IF(staff[[#This Row],[Tenure]]&gt;2,3%,2%)*staff[[#This Row],[Salary]],0)</f>
        <v>2307</v>
      </c>
      <c r="K103" s="4">
        <f>_xlfn.XLOOKUP(staff[[#This Row],[Rating]],'Rating map table'!A$2:A$6,'Rating map table'!B$2:B$6)</f>
        <v>4</v>
      </c>
    </row>
    <row r="104" spans="1:11" x14ac:dyDescent="0.3">
      <c r="A104" s="4" t="s">
        <v>72</v>
      </c>
      <c r="B104" s="4" t="s">
        <v>8</v>
      </c>
      <c r="C104" s="4" t="s">
        <v>9</v>
      </c>
      <c r="D104" s="4">
        <v>36</v>
      </c>
      <c r="E104" s="10">
        <v>44529</v>
      </c>
      <c r="F104" s="6">
        <v>78390</v>
      </c>
      <c r="G104" s="4" t="s">
        <v>16</v>
      </c>
      <c r="H104" s="4" t="s">
        <v>205</v>
      </c>
      <c r="I104" s="11">
        <f ca="1">(TODAY()-staff[[#This Row],[Date Joined]])/365</f>
        <v>4.6328767123287671</v>
      </c>
      <c r="J104" s="29">
        <f ca="1">ROUNDUP(IF(staff[[#This Row],[Tenure]]&gt;2,3%,2%)*staff[[#This Row],[Salary]],0)</f>
        <v>2352</v>
      </c>
      <c r="K104" s="4">
        <f>_xlfn.XLOOKUP(staff[[#This Row],[Rating]],'Rating map table'!A$2:A$6,'Rating map table'!B$2:B$6)</f>
        <v>3</v>
      </c>
    </row>
    <row r="105" spans="1:11" x14ac:dyDescent="0.3">
      <c r="A105" s="4" t="s">
        <v>164</v>
      </c>
      <c r="B105" s="4" t="s">
        <v>8</v>
      </c>
      <c r="C105" s="4" t="s">
        <v>9</v>
      </c>
      <c r="D105" s="4">
        <v>36</v>
      </c>
      <c r="E105" s="10">
        <v>44468</v>
      </c>
      <c r="F105" s="6">
        <v>78390</v>
      </c>
      <c r="G105" s="4" t="s">
        <v>16</v>
      </c>
      <c r="H105" s="4" t="s">
        <v>207</v>
      </c>
      <c r="I105" s="11">
        <f ca="1">(TODAY()-staff[[#This Row],[Date Joined]])/365</f>
        <v>4.8</v>
      </c>
      <c r="J105" s="29">
        <f ca="1">ROUNDUP(IF(staff[[#This Row],[Tenure]]&gt;2,3%,2%)*staff[[#This Row],[Salary]],0)</f>
        <v>2352</v>
      </c>
      <c r="K105" s="4">
        <f>_xlfn.XLOOKUP(staff[[#This Row],[Rating]],'Rating map table'!A$2:A$6,'Rating map table'!B$2:B$6)</f>
        <v>3</v>
      </c>
    </row>
    <row r="106" spans="1:11" x14ac:dyDescent="0.3">
      <c r="A106" s="4" t="s">
        <v>48</v>
      </c>
      <c r="B106" s="4" t="s">
        <v>8</v>
      </c>
      <c r="C106" s="4" t="s">
        <v>19</v>
      </c>
      <c r="D106" s="4">
        <v>36</v>
      </c>
      <c r="E106" s="10">
        <v>44494</v>
      </c>
      <c r="F106" s="6">
        <v>78540</v>
      </c>
      <c r="G106" s="4" t="s">
        <v>16</v>
      </c>
      <c r="H106" s="4" t="s">
        <v>205</v>
      </c>
      <c r="I106" s="11">
        <f ca="1">(TODAY()-staff[[#This Row],[Date Joined]])/365</f>
        <v>4.7287671232876711</v>
      </c>
      <c r="J106" s="29">
        <f ca="1">ROUNDUP(IF(staff[[#This Row],[Tenure]]&gt;2,3%,2%)*staff[[#This Row],[Salary]],0)</f>
        <v>2357</v>
      </c>
      <c r="K106" s="4">
        <f>_xlfn.XLOOKUP(staff[[#This Row],[Rating]],'Rating map table'!A$2:A$6,'Rating map table'!B$2:B$6)</f>
        <v>3</v>
      </c>
    </row>
    <row r="107" spans="1:11" x14ac:dyDescent="0.3">
      <c r="A107" s="4" t="s">
        <v>141</v>
      </c>
      <c r="B107" s="4" t="s">
        <v>8</v>
      </c>
      <c r="C107" s="4" t="s">
        <v>19</v>
      </c>
      <c r="D107" s="4">
        <v>36</v>
      </c>
      <c r="E107" s="10">
        <v>44433</v>
      </c>
      <c r="F107" s="6">
        <v>78540</v>
      </c>
      <c r="G107" s="4" t="s">
        <v>16</v>
      </c>
      <c r="H107" s="4" t="s">
        <v>207</v>
      </c>
      <c r="I107" s="11">
        <f ca="1">(TODAY()-staff[[#This Row],[Date Joined]])/365</f>
        <v>4.8958904109589039</v>
      </c>
      <c r="J107" s="29">
        <f ca="1">ROUNDUP(IF(staff[[#This Row],[Tenure]]&gt;2,3%,2%)*staff[[#This Row],[Salary]],0)</f>
        <v>2357</v>
      </c>
      <c r="K107" s="4">
        <f>_xlfn.XLOOKUP(staff[[#This Row],[Rating]],'Rating map table'!A$2:A$6,'Rating map table'!B$2:B$6)</f>
        <v>3</v>
      </c>
    </row>
    <row r="108" spans="1:11" x14ac:dyDescent="0.3">
      <c r="A108" s="4" t="s">
        <v>104</v>
      </c>
      <c r="B108" s="4" t="s">
        <v>15</v>
      </c>
      <c r="C108" s="4" t="s">
        <v>9</v>
      </c>
      <c r="D108" s="4">
        <v>20</v>
      </c>
      <c r="E108" s="10">
        <v>44744</v>
      </c>
      <c r="F108" s="6">
        <v>79570</v>
      </c>
      <c r="G108" s="4" t="s">
        <v>16</v>
      </c>
      <c r="H108" s="4" t="s">
        <v>205</v>
      </c>
      <c r="I108" s="11">
        <f ca="1">(TODAY()-staff[[#This Row],[Date Joined]])/365</f>
        <v>4.043835616438356</v>
      </c>
      <c r="J108" s="29">
        <f ca="1">ROUNDUP(IF(staff[[#This Row],[Tenure]]&gt;2,3%,2%)*staff[[#This Row],[Salary]],0)</f>
        <v>2388</v>
      </c>
      <c r="K108" s="4">
        <f>_xlfn.XLOOKUP(staff[[#This Row],[Rating]],'Rating map table'!A$2:A$6,'Rating map table'!B$2:B$6)</f>
        <v>3</v>
      </c>
    </row>
    <row r="109" spans="1:11" x14ac:dyDescent="0.3">
      <c r="A109" s="4" t="s">
        <v>197</v>
      </c>
      <c r="B109" s="4" t="s">
        <v>15</v>
      </c>
      <c r="C109" s="4" t="s">
        <v>9</v>
      </c>
      <c r="D109" s="4">
        <v>20</v>
      </c>
      <c r="E109" s="10">
        <v>44683</v>
      </c>
      <c r="F109" s="6">
        <v>79570</v>
      </c>
      <c r="G109" s="4" t="s">
        <v>16</v>
      </c>
      <c r="H109" s="4" t="s">
        <v>207</v>
      </c>
      <c r="I109" s="11">
        <f ca="1">(TODAY()-staff[[#This Row],[Date Joined]])/365</f>
        <v>4.2109589041095887</v>
      </c>
      <c r="J109" s="29">
        <f ca="1">ROUNDUP(IF(staff[[#This Row],[Tenure]]&gt;2,3%,2%)*staff[[#This Row],[Salary]],0)</f>
        <v>2388</v>
      </c>
      <c r="K109" s="4">
        <f>_xlfn.XLOOKUP(staff[[#This Row],[Rating]],'Rating map table'!A$2:A$6,'Rating map table'!B$2:B$6)</f>
        <v>3</v>
      </c>
    </row>
    <row r="110" spans="1:11" x14ac:dyDescent="0.3">
      <c r="A110" s="4" t="s">
        <v>39</v>
      </c>
      <c r="B110" s="4" t="s">
        <v>8</v>
      </c>
      <c r="C110" s="4" t="s">
        <v>12</v>
      </c>
      <c r="D110" s="4">
        <v>25</v>
      </c>
      <c r="E110" s="10">
        <v>44694</v>
      </c>
      <c r="F110" s="6">
        <v>80700</v>
      </c>
      <c r="G110" s="4" t="s">
        <v>13</v>
      </c>
      <c r="H110" s="4" t="s">
        <v>205</v>
      </c>
      <c r="I110" s="11">
        <f ca="1">(TODAY()-staff[[#This Row],[Date Joined]])/365</f>
        <v>4.1808219178082195</v>
      </c>
      <c r="J110" s="29">
        <f ca="1">ROUNDUP(IF(staff[[#This Row],[Tenure]]&gt;2,3%,2%)*staff[[#This Row],[Salary]],0)</f>
        <v>2421</v>
      </c>
      <c r="K110" s="4">
        <f>_xlfn.XLOOKUP(staff[[#This Row],[Rating]],'Rating map table'!A$2:A$6,'Rating map table'!B$2:B$6)</f>
        <v>4</v>
      </c>
    </row>
    <row r="111" spans="1:11" x14ac:dyDescent="0.3">
      <c r="A111" s="4" t="s">
        <v>133</v>
      </c>
      <c r="B111" s="4" t="s">
        <v>8</v>
      </c>
      <c r="C111" s="4" t="s">
        <v>12</v>
      </c>
      <c r="D111" s="4">
        <v>25</v>
      </c>
      <c r="E111" s="10">
        <v>44633</v>
      </c>
      <c r="F111" s="6">
        <v>80700</v>
      </c>
      <c r="G111" s="4" t="s">
        <v>13</v>
      </c>
      <c r="H111" s="4" t="s">
        <v>207</v>
      </c>
      <c r="I111" s="11">
        <f ca="1">(TODAY()-staff[[#This Row],[Date Joined]])/365</f>
        <v>4.3479452054794523</v>
      </c>
      <c r="J111" s="29">
        <f ca="1">ROUNDUP(IF(staff[[#This Row],[Tenure]]&gt;2,3%,2%)*staff[[#This Row],[Salary]],0)</f>
        <v>2421</v>
      </c>
      <c r="K111" s="4">
        <f>_xlfn.XLOOKUP(staff[[#This Row],[Rating]],'Rating map table'!A$2:A$6,'Rating map table'!B$2:B$6)</f>
        <v>4</v>
      </c>
    </row>
    <row r="112" spans="1:11" x14ac:dyDescent="0.3">
      <c r="A112" s="4" t="s">
        <v>92</v>
      </c>
      <c r="B112" s="4" t="s">
        <v>8</v>
      </c>
      <c r="C112" s="4" t="s">
        <v>12</v>
      </c>
      <c r="D112" s="4">
        <v>27</v>
      </c>
      <c r="E112" s="10">
        <v>44686</v>
      </c>
      <c r="F112" s="6">
        <v>83750</v>
      </c>
      <c r="G112" s="4" t="s">
        <v>16</v>
      </c>
      <c r="H112" s="4" t="s">
        <v>205</v>
      </c>
      <c r="I112" s="11">
        <f ca="1">(TODAY()-staff[[#This Row],[Date Joined]])/365</f>
        <v>4.2027397260273975</v>
      </c>
      <c r="J112" s="29">
        <f ca="1">ROUNDUP(IF(staff[[#This Row],[Tenure]]&gt;2,3%,2%)*staff[[#This Row],[Salary]],0)</f>
        <v>2513</v>
      </c>
      <c r="K112" s="4">
        <f>_xlfn.XLOOKUP(staff[[#This Row],[Rating]],'Rating map table'!A$2:A$6,'Rating map table'!B$2:B$6)</f>
        <v>3</v>
      </c>
    </row>
    <row r="113" spans="1:11" x14ac:dyDescent="0.3">
      <c r="A113" s="4" t="s">
        <v>185</v>
      </c>
      <c r="B113" s="4" t="s">
        <v>8</v>
      </c>
      <c r="C113" s="4" t="s">
        <v>12</v>
      </c>
      <c r="D113" s="4">
        <v>27</v>
      </c>
      <c r="E113" s="10">
        <v>44625</v>
      </c>
      <c r="F113" s="6">
        <v>83750</v>
      </c>
      <c r="G113" s="4" t="s">
        <v>16</v>
      </c>
      <c r="H113" s="4" t="s">
        <v>207</v>
      </c>
      <c r="I113" s="11">
        <f ca="1">(TODAY()-staff[[#This Row],[Date Joined]])/365</f>
        <v>4.3698630136986303</v>
      </c>
      <c r="J113" s="29">
        <f ca="1">ROUNDUP(IF(staff[[#This Row],[Tenure]]&gt;2,3%,2%)*staff[[#This Row],[Salary]],0)</f>
        <v>2513</v>
      </c>
      <c r="K113" s="4">
        <f>_xlfn.XLOOKUP(staff[[#This Row],[Rating]],'Rating map table'!A$2:A$6,'Rating map table'!B$2:B$6)</f>
        <v>3</v>
      </c>
    </row>
    <row r="114" spans="1:11" x14ac:dyDescent="0.3">
      <c r="A114" s="4" t="s">
        <v>28</v>
      </c>
      <c r="B114" s="4" t="s">
        <v>8</v>
      </c>
      <c r="C114" s="4" t="s">
        <v>21</v>
      </c>
      <c r="D114" s="4">
        <v>34</v>
      </c>
      <c r="E114" s="10">
        <v>44459</v>
      </c>
      <c r="F114" s="6">
        <v>85000</v>
      </c>
      <c r="G114" s="4" t="s">
        <v>16</v>
      </c>
      <c r="H114" s="4" t="s">
        <v>205</v>
      </c>
      <c r="I114" s="11">
        <f ca="1">(TODAY()-staff[[#This Row],[Date Joined]])/365</f>
        <v>4.8246575342465752</v>
      </c>
      <c r="J114" s="29">
        <f ca="1">ROUNDUP(IF(staff[[#This Row],[Tenure]]&gt;2,3%,2%)*staff[[#This Row],[Salary]],0)</f>
        <v>2550</v>
      </c>
      <c r="K114" s="4">
        <f>_xlfn.XLOOKUP(staff[[#This Row],[Rating]],'Rating map table'!A$2:A$6,'Rating map table'!B$2:B$6)</f>
        <v>3</v>
      </c>
    </row>
    <row r="115" spans="1:11" x14ac:dyDescent="0.3">
      <c r="A115" s="4" t="s">
        <v>122</v>
      </c>
      <c r="B115" s="4" t="s">
        <v>8</v>
      </c>
      <c r="C115" s="4" t="s">
        <v>21</v>
      </c>
      <c r="D115" s="4">
        <v>34</v>
      </c>
      <c r="E115" s="10">
        <v>44397</v>
      </c>
      <c r="F115" s="6">
        <v>85000</v>
      </c>
      <c r="G115" s="4" t="s">
        <v>16</v>
      </c>
      <c r="H115" s="4" t="s">
        <v>207</v>
      </c>
      <c r="I115" s="11">
        <f ca="1">(TODAY()-staff[[#This Row],[Date Joined]])/365</f>
        <v>4.9945205479452053</v>
      </c>
      <c r="J115" s="29">
        <f ca="1">ROUNDUP(IF(staff[[#This Row],[Tenure]]&gt;2,3%,2%)*staff[[#This Row],[Salary]],0)</f>
        <v>2550</v>
      </c>
      <c r="K115" s="4">
        <f>_xlfn.XLOOKUP(staff[[#This Row],[Rating]],'Rating map table'!A$2:A$6,'Rating map table'!B$2:B$6)</f>
        <v>3</v>
      </c>
    </row>
    <row r="116" spans="1:11" x14ac:dyDescent="0.3">
      <c r="A116" s="4" t="s">
        <v>88</v>
      </c>
      <c r="B116" s="4" t="s">
        <v>8</v>
      </c>
      <c r="C116" s="4" t="s">
        <v>21</v>
      </c>
      <c r="D116" s="4">
        <v>33</v>
      </c>
      <c r="E116" s="10">
        <v>44809</v>
      </c>
      <c r="F116" s="6">
        <v>86570</v>
      </c>
      <c r="G116" s="4" t="s">
        <v>16</v>
      </c>
      <c r="H116" s="4" t="s">
        <v>205</v>
      </c>
      <c r="I116" s="11">
        <f ca="1">(TODAY()-staff[[#This Row],[Date Joined]])/365</f>
        <v>3.8657534246575342</v>
      </c>
      <c r="J116" s="29">
        <f ca="1">ROUNDUP(IF(staff[[#This Row],[Tenure]]&gt;2,3%,2%)*staff[[#This Row],[Salary]],0)</f>
        <v>2598</v>
      </c>
      <c r="K116" s="4">
        <f>_xlfn.XLOOKUP(staff[[#This Row],[Rating]],'Rating map table'!A$2:A$6,'Rating map table'!B$2:B$6)</f>
        <v>3</v>
      </c>
    </row>
    <row r="117" spans="1:11" x14ac:dyDescent="0.3">
      <c r="A117" s="4" t="s">
        <v>181</v>
      </c>
      <c r="B117" s="4" t="s">
        <v>8</v>
      </c>
      <c r="C117" s="4" t="s">
        <v>21</v>
      </c>
      <c r="D117" s="4">
        <v>33</v>
      </c>
      <c r="E117" s="10">
        <v>44747</v>
      </c>
      <c r="F117" s="6">
        <v>86570</v>
      </c>
      <c r="G117" s="4" t="s">
        <v>16</v>
      </c>
      <c r="H117" s="4" t="s">
        <v>207</v>
      </c>
      <c r="I117" s="11">
        <f ca="1">(TODAY()-staff[[#This Row],[Date Joined]])/365</f>
        <v>4.0356164383561648</v>
      </c>
      <c r="J117" s="29">
        <f ca="1">ROUNDUP(IF(staff[[#This Row],[Tenure]]&gt;2,3%,2%)*staff[[#This Row],[Salary]],0)</f>
        <v>2598</v>
      </c>
      <c r="K117" s="4">
        <f>_xlfn.XLOOKUP(staff[[#This Row],[Rating]],'Rating map table'!A$2:A$6,'Rating map table'!B$2:B$6)</f>
        <v>3</v>
      </c>
    </row>
    <row r="118" spans="1:11" x14ac:dyDescent="0.3">
      <c r="A118" s="4" t="s">
        <v>74</v>
      </c>
      <c r="B118" s="4" t="s">
        <v>8</v>
      </c>
      <c r="C118" s="4" t="s">
        <v>12</v>
      </c>
      <c r="D118" s="4">
        <v>40</v>
      </c>
      <c r="E118" s="10">
        <v>44337</v>
      </c>
      <c r="F118" s="6">
        <v>87620</v>
      </c>
      <c r="G118" s="4" t="s">
        <v>16</v>
      </c>
      <c r="H118" s="4" t="s">
        <v>205</v>
      </c>
      <c r="I118" s="11">
        <f ca="1">(TODAY()-staff[[#This Row],[Date Joined]])/365</f>
        <v>5.1589041095890407</v>
      </c>
      <c r="J118" s="29">
        <f ca="1">ROUNDUP(IF(staff[[#This Row],[Tenure]]&gt;2,3%,2%)*staff[[#This Row],[Salary]],0)</f>
        <v>2629</v>
      </c>
      <c r="K118" s="4">
        <f>_xlfn.XLOOKUP(staff[[#This Row],[Rating]],'Rating map table'!A$2:A$6,'Rating map table'!B$2:B$6)</f>
        <v>3</v>
      </c>
    </row>
    <row r="119" spans="1:11" x14ac:dyDescent="0.3">
      <c r="A119" s="4" t="s">
        <v>166</v>
      </c>
      <c r="B119" s="4" t="s">
        <v>8</v>
      </c>
      <c r="C119" s="4" t="s">
        <v>12</v>
      </c>
      <c r="D119" s="4">
        <v>40</v>
      </c>
      <c r="E119" s="10">
        <v>44276</v>
      </c>
      <c r="F119" s="6">
        <v>87620</v>
      </c>
      <c r="G119" s="4" t="s">
        <v>16</v>
      </c>
      <c r="H119" s="4" t="s">
        <v>207</v>
      </c>
      <c r="I119" s="11">
        <f ca="1">(TODAY()-staff[[#This Row],[Date Joined]])/365</f>
        <v>5.3260273972602743</v>
      </c>
      <c r="J119" s="29">
        <f ca="1">ROUNDUP(IF(staff[[#This Row],[Tenure]]&gt;2,3%,2%)*staff[[#This Row],[Salary]],0)</f>
        <v>2629</v>
      </c>
      <c r="K119" s="4">
        <f>_xlfn.XLOOKUP(staff[[#This Row],[Rating]],'Rating map table'!A$2:A$6,'Rating map table'!B$2:B$6)</f>
        <v>3</v>
      </c>
    </row>
    <row r="120" spans="1:11" x14ac:dyDescent="0.3">
      <c r="A120" s="4" t="s">
        <v>23</v>
      </c>
      <c r="B120" s="4" t="s">
        <v>15</v>
      </c>
      <c r="C120" s="4" t="s">
        <v>12</v>
      </c>
      <c r="D120" s="4">
        <v>37</v>
      </c>
      <c r="E120" s="10">
        <v>44338</v>
      </c>
      <c r="F120" s="6">
        <v>88050</v>
      </c>
      <c r="G120" s="4" t="s">
        <v>24</v>
      </c>
      <c r="H120" s="4" t="s">
        <v>205</v>
      </c>
      <c r="I120" s="11">
        <f ca="1">(TODAY()-staff[[#This Row],[Date Joined]])/365</f>
        <v>5.1561643835616442</v>
      </c>
      <c r="J120" s="29">
        <f ca="1">ROUNDUP(IF(staff[[#This Row],[Tenure]]&gt;2,3%,2%)*staff[[#This Row],[Salary]],0)</f>
        <v>2642</v>
      </c>
      <c r="K120" s="4">
        <f>_xlfn.XLOOKUP(staff[[#This Row],[Rating]],'Rating map table'!A$2:A$6,'Rating map table'!B$2:B$6)</f>
        <v>2</v>
      </c>
    </row>
    <row r="121" spans="1:11" x14ac:dyDescent="0.3">
      <c r="A121" s="4" t="s">
        <v>118</v>
      </c>
      <c r="B121" s="4" t="s">
        <v>15</v>
      </c>
      <c r="C121" s="4" t="s">
        <v>12</v>
      </c>
      <c r="D121" s="4">
        <v>37</v>
      </c>
      <c r="E121" s="10">
        <v>44277</v>
      </c>
      <c r="F121" s="6">
        <v>88050</v>
      </c>
      <c r="G121" s="4" t="s">
        <v>24</v>
      </c>
      <c r="H121" s="4" t="s">
        <v>207</v>
      </c>
      <c r="I121" s="11">
        <f ca="1">(TODAY()-staff[[#This Row],[Date Joined]])/365</f>
        <v>5.3232876712328769</v>
      </c>
      <c r="J121" s="29">
        <f ca="1">ROUNDUP(IF(staff[[#This Row],[Tenure]]&gt;2,3%,2%)*staff[[#This Row],[Salary]],0)</f>
        <v>2642</v>
      </c>
      <c r="K121" s="4">
        <f>_xlfn.XLOOKUP(staff[[#This Row],[Rating]],'Rating map table'!A$2:A$6,'Rating map table'!B$2:B$6)</f>
        <v>2</v>
      </c>
    </row>
    <row r="122" spans="1:11" x14ac:dyDescent="0.3">
      <c r="A122" s="4" t="s">
        <v>11</v>
      </c>
      <c r="B122" s="4" t="s">
        <v>206</v>
      </c>
      <c r="C122" s="4" t="s">
        <v>12</v>
      </c>
      <c r="D122" s="4">
        <v>26</v>
      </c>
      <c r="E122" s="10">
        <v>44271</v>
      </c>
      <c r="F122" s="6">
        <v>90700</v>
      </c>
      <c r="G122" s="4" t="s">
        <v>13</v>
      </c>
      <c r="H122" s="4" t="s">
        <v>205</v>
      </c>
      <c r="I122" s="11">
        <f ca="1">(TODAY()-staff[[#This Row],[Date Joined]])/365</f>
        <v>5.3397260273972602</v>
      </c>
      <c r="J122" s="29">
        <f ca="1">ROUNDUP(IF(staff[[#This Row],[Tenure]]&gt;2,3%,2%)*staff[[#This Row],[Salary]],0)</f>
        <v>2721</v>
      </c>
      <c r="K122" s="4">
        <f>_xlfn.XLOOKUP(staff[[#This Row],[Rating]],'Rating map table'!A$2:A$6,'Rating map table'!B$2:B$6)</f>
        <v>4</v>
      </c>
    </row>
    <row r="123" spans="1:11" x14ac:dyDescent="0.3">
      <c r="A123" s="4" t="s">
        <v>112</v>
      </c>
      <c r="B123" s="4" t="s">
        <v>206</v>
      </c>
      <c r="C123" s="4" t="s">
        <v>12</v>
      </c>
      <c r="D123" s="4">
        <v>27</v>
      </c>
      <c r="E123" s="10">
        <v>44212</v>
      </c>
      <c r="F123" s="6">
        <v>90700</v>
      </c>
      <c r="G123" s="4" t="s">
        <v>13</v>
      </c>
      <c r="H123" s="4" t="s">
        <v>207</v>
      </c>
      <c r="I123" s="11">
        <f ca="1">(TODAY()-staff[[#This Row],[Date Joined]])/365</f>
        <v>5.5013698630136982</v>
      </c>
      <c r="J123" s="29">
        <f ca="1">ROUNDUP(IF(staff[[#This Row],[Tenure]]&gt;2,3%,2%)*staff[[#This Row],[Salary]],0)</f>
        <v>2721</v>
      </c>
      <c r="K123" s="4">
        <f>_xlfn.XLOOKUP(staff[[#This Row],[Rating]],'Rating map table'!A$2:A$6,'Rating map table'!B$2:B$6)</f>
        <v>4</v>
      </c>
    </row>
    <row r="124" spans="1:11" x14ac:dyDescent="0.3">
      <c r="A124" s="4" t="s">
        <v>52</v>
      </c>
      <c r="B124" s="4" t="s">
        <v>206</v>
      </c>
      <c r="C124" s="4" t="s">
        <v>12</v>
      </c>
      <c r="D124" s="4">
        <v>32</v>
      </c>
      <c r="E124" s="10">
        <v>44774</v>
      </c>
      <c r="F124" s="6">
        <v>91310</v>
      </c>
      <c r="G124" s="4" t="s">
        <v>16</v>
      </c>
      <c r="H124" s="4" t="s">
        <v>205</v>
      </c>
      <c r="I124" s="11">
        <f ca="1">(TODAY()-staff[[#This Row],[Date Joined]])/365</f>
        <v>3.9616438356164383</v>
      </c>
      <c r="J124" s="29">
        <f ca="1">ROUNDUP(IF(staff[[#This Row],[Tenure]]&gt;2,3%,2%)*staff[[#This Row],[Salary]],0)</f>
        <v>2740</v>
      </c>
      <c r="K124" s="4">
        <f>_xlfn.XLOOKUP(staff[[#This Row],[Rating]],'Rating map table'!A$2:A$6,'Rating map table'!B$2:B$6)</f>
        <v>3</v>
      </c>
    </row>
    <row r="125" spans="1:11" x14ac:dyDescent="0.3">
      <c r="A125" s="4" t="s">
        <v>145</v>
      </c>
      <c r="B125" s="4" t="s">
        <v>206</v>
      </c>
      <c r="C125" s="4" t="s">
        <v>12</v>
      </c>
      <c r="D125" s="4">
        <v>32</v>
      </c>
      <c r="E125" s="10">
        <v>44713</v>
      </c>
      <c r="F125" s="6">
        <v>91310</v>
      </c>
      <c r="G125" s="4" t="s">
        <v>16</v>
      </c>
      <c r="H125" s="4" t="s">
        <v>207</v>
      </c>
      <c r="I125" s="11">
        <f ca="1">(TODAY()-staff[[#This Row],[Date Joined]])/365</f>
        <v>4.1287671232876715</v>
      </c>
      <c r="J125" s="29">
        <f ca="1">ROUNDUP(IF(staff[[#This Row],[Tenure]]&gt;2,3%,2%)*staff[[#This Row],[Salary]],0)</f>
        <v>2740</v>
      </c>
      <c r="K125" s="4">
        <f>_xlfn.XLOOKUP(staff[[#This Row],[Rating]],'Rating map table'!A$2:A$6,'Rating map table'!B$2:B$6)</f>
        <v>3</v>
      </c>
    </row>
    <row r="126" spans="1:11" x14ac:dyDescent="0.3">
      <c r="A126" s="4" t="s">
        <v>68</v>
      </c>
      <c r="B126" s="4" t="s">
        <v>15</v>
      </c>
      <c r="C126" s="4" t="s">
        <v>21</v>
      </c>
      <c r="D126" s="4">
        <v>27</v>
      </c>
      <c r="E126" s="10">
        <v>44236</v>
      </c>
      <c r="F126" s="6">
        <v>91650</v>
      </c>
      <c r="G126" s="4" t="s">
        <v>13</v>
      </c>
      <c r="H126" s="4" t="s">
        <v>205</v>
      </c>
      <c r="I126" s="11">
        <f ca="1">(TODAY()-staff[[#This Row],[Date Joined]])/365</f>
        <v>5.4356164383561643</v>
      </c>
      <c r="J126" s="29">
        <f ca="1">ROUNDUP(IF(staff[[#This Row],[Tenure]]&gt;2,3%,2%)*staff[[#This Row],[Salary]],0)</f>
        <v>2750</v>
      </c>
      <c r="K126" s="4">
        <f>_xlfn.XLOOKUP(staff[[#This Row],[Rating]],'Rating map table'!A$2:A$6,'Rating map table'!B$2:B$6)</f>
        <v>4</v>
      </c>
    </row>
    <row r="127" spans="1:11" x14ac:dyDescent="0.3">
      <c r="A127" s="4" t="s">
        <v>160</v>
      </c>
      <c r="B127" s="4" t="s">
        <v>15</v>
      </c>
      <c r="C127" s="4" t="s">
        <v>21</v>
      </c>
      <c r="D127" s="4">
        <v>27</v>
      </c>
      <c r="E127" s="10">
        <v>44174</v>
      </c>
      <c r="F127" s="6">
        <v>91650</v>
      </c>
      <c r="G127" s="4" t="s">
        <v>13</v>
      </c>
      <c r="H127" s="4" t="s">
        <v>207</v>
      </c>
      <c r="I127" s="11">
        <f ca="1">(TODAY()-staff[[#This Row],[Date Joined]])/365</f>
        <v>5.6054794520547944</v>
      </c>
      <c r="J127" s="29">
        <f ca="1">ROUNDUP(IF(staff[[#This Row],[Tenure]]&gt;2,3%,2%)*staff[[#This Row],[Salary]],0)</f>
        <v>2750</v>
      </c>
      <c r="K127" s="4">
        <f>_xlfn.XLOOKUP(staff[[#This Row],[Rating]],'Rating map table'!A$2:A$6,'Rating map table'!B$2:B$6)</f>
        <v>4</v>
      </c>
    </row>
    <row r="128" spans="1:11" x14ac:dyDescent="0.3">
      <c r="A128" s="4" t="s">
        <v>102</v>
      </c>
      <c r="B128" s="4" t="s">
        <v>8</v>
      </c>
      <c r="C128" s="4" t="s">
        <v>21</v>
      </c>
      <c r="D128" s="4">
        <v>34</v>
      </c>
      <c r="E128" s="10">
        <v>44445</v>
      </c>
      <c r="F128" s="6">
        <v>92450</v>
      </c>
      <c r="G128" s="4" t="s">
        <v>16</v>
      </c>
      <c r="H128" s="4" t="s">
        <v>205</v>
      </c>
      <c r="I128" s="11">
        <f ca="1">(TODAY()-staff[[#This Row],[Date Joined]])/365</f>
        <v>4.8630136986301373</v>
      </c>
      <c r="J128" s="29">
        <f ca="1">ROUNDUP(IF(staff[[#This Row],[Tenure]]&gt;2,3%,2%)*staff[[#This Row],[Salary]],0)</f>
        <v>2774</v>
      </c>
      <c r="K128" s="4">
        <f>_xlfn.XLOOKUP(staff[[#This Row],[Rating]],'Rating map table'!A$2:A$6,'Rating map table'!B$2:B$6)</f>
        <v>3</v>
      </c>
    </row>
    <row r="129" spans="1:11" x14ac:dyDescent="0.3">
      <c r="A129" s="4" t="s">
        <v>195</v>
      </c>
      <c r="B129" s="4" t="s">
        <v>8</v>
      </c>
      <c r="C129" s="4" t="s">
        <v>21</v>
      </c>
      <c r="D129" s="4">
        <v>34</v>
      </c>
      <c r="E129" s="10">
        <v>44383</v>
      </c>
      <c r="F129" s="6">
        <v>92450</v>
      </c>
      <c r="G129" s="4" t="s">
        <v>16</v>
      </c>
      <c r="H129" s="4" t="s">
        <v>207</v>
      </c>
      <c r="I129" s="11">
        <f ca="1">(TODAY()-staff[[#This Row],[Date Joined]])/365</f>
        <v>5.0328767123287674</v>
      </c>
      <c r="J129" s="29">
        <f ca="1">ROUNDUP(IF(staff[[#This Row],[Tenure]]&gt;2,3%,2%)*staff[[#This Row],[Salary]],0)</f>
        <v>2774</v>
      </c>
      <c r="K129" s="4">
        <f>_xlfn.XLOOKUP(staff[[#This Row],[Rating]],'Rating map table'!A$2:A$6,'Rating map table'!B$2:B$6)</f>
        <v>3</v>
      </c>
    </row>
    <row r="130" spans="1:11" x14ac:dyDescent="0.3">
      <c r="A130" s="4" t="s">
        <v>77</v>
      </c>
      <c r="B130" s="4" t="s">
        <v>8</v>
      </c>
      <c r="C130" s="4" t="s">
        <v>19</v>
      </c>
      <c r="D130" s="4">
        <v>25</v>
      </c>
      <c r="E130" s="10">
        <v>44205</v>
      </c>
      <c r="F130" s="6">
        <v>92700</v>
      </c>
      <c r="G130" s="4" t="s">
        <v>16</v>
      </c>
      <c r="H130" s="4" t="s">
        <v>205</v>
      </c>
      <c r="I130" s="11">
        <f ca="1">(TODAY()-staff[[#This Row],[Date Joined]])/365</f>
        <v>5.5205479452054798</v>
      </c>
      <c r="J130" s="29">
        <f ca="1">ROUNDUP(IF(staff[[#This Row],[Tenure]]&gt;2,3%,2%)*staff[[#This Row],[Salary]],0)</f>
        <v>2781</v>
      </c>
      <c r="K130" s="4">
        <f>_xlfn.XLOOKUP(staff[[#This Row],[Rating]],'Rating map table'!A$2:A$6,'Rating map table'!B$2:B$6)</f>
        <v>3</v>
      </c>
    </row>
    <row r="131" spans="1:11" x14ac:dyDescent="0.3">
      <c r="A131" s="4" t="s">
        <v>169</v>
      </c>
      <c r="B131" s="4" t="s">
        <v>8</v>
      </c>
      <c r="C131" s="4" t="s">
        <v>19</v>
      </c>
      <c r="D131" s="4">
        <v>25</v>
      </c>
      <c r="E131" s="10">
        <v>44144</v>
      </c>
      <c r="F131" s="6">
        <v>92700</v>
      </c>
      <c r="G131" s="4" t="s">
        <v>16</v>
      </c>
      <c r="H131" s="4" t="s">
        <v>207</v>
      </c>
      <c r="I131" s="11">
        <f ca="1">(TODAY()-staff[[#This Row],[Date Joined]])/365</f>
        <v>5.6876712328767125</v>
      </c>
      <c r="J131" s="29">
        <f ca="1">ROUNDUP(IF(staff[[#This Row],[Tenure]]&gt;2,3%,2%)*staff[[#This Row],[Salary]],0)</f>
        <v>2781</v>
      </c>
      <c r="K131" s="4">
        <f>_xlfn.XLOOKUP(staff[[#This Row],[Rating]],'Rating map table'!A$2:A$6,'Rating map table'!B$2:B$6)</f>
        <v>3</v>
      </c>
    </row>
    <row r="132" spans="1:11" x14ac:dyDescent="0.3">
      <c r="A132" s="4" t="s">
        <v>71</v>
      </c>
      <c r="B132" s="4" t="s">
        <v>8</v>
      </c>
      <c r="C132" s="4" t="s">
        <v>12</v>
      </c>
      <c r="D132" s="4">
        <v>33</v>
      </c>
      <c r="E132" s="10">
        <v>44190</v>
      </c>
      <c r="F132" s="6">
        <v>96140</v>
      </c>
      <c r="G132" s="4" t="s">
        <v>16</v>
      </c>
      <c r="H132" s="4" t="s">
        <v>205</v>
      </c>
      <c r="I132" s="11">
        <f ca="1">(TODAY()-staff[[#This Row],[Date Joined]])/365</f>
        <v>5.5616438356164384</v>
      </c>
      <c r="J132" s="29">
        <f ca="1">ROUNDUP(IF(staff[[#This Row],[Tenure]]&gt;2,3%,2%)*staff[[#This Row],[Salary]],0)</f>
        <v>2885</v>
      </c>
      <c r="K132" s="4">
        <f>_xlfn.XLOOKUP(staff[[#This Row],[Rating]],'Rating map table'!A$2:A$6,'Rating map table'!B$2:B$6)</f>
        <v>3</v>
      </c>
    </row>
    <row r="133" spans="1:11" x14ac:dyDescent="0.3">
      <c r="A133" s="4" t="s">
        <v>163</v>
      </c>
      <c r="B133" s="4" t="s">
        <v>8</v>
      </c>
      <c r="C133" s="4" t="s">
        <v>12</v>
      </c>
      <c r="D133" s="4">
        <v>33</v>
      </c>
      <c r="E133" s="10">
        <v>44129</v>
      </c>
      <c r="F133" s="6">
        <v>96140</v>
      </c>
      <c r="G133" s="4" t="s">
        <v>16</v>
      </c>
      <c r="H133" s="4" t="s">
        <v>207</v>
      </c>
      <c r="I133" s="11">
        <f ca="1">(TODAY()-staff[[#This Row],[Date Joined]])/365</f>
        <v>5.7287671232876711</v>
      </c>
      <c r="J133" s="29">
        <f ca="1">ROUNDUP(IF(staff[[#This Row],[Tenure]]&gt;2,3%,2%)*staff[[#This Row],[Salary]],0)</f>
        <v>2885</v>
      </c>
      <c r="K133" s="4">
        <f>_xlfn.XLOOKUP(staff[[#This Row],[Rating]],'Rating map table'!A$2:A$6,'Rating map table'!B$2:B$6)</f>
        <v>3</v>
      </c>
    </row>
    <row r="134" spans="1:11" x14ac:dyDescent="0.3">
      <c r="A134" s="4" t="s">
        <v>85</v>
      </c>
      <c r="B134" s="4" t="s">
        <v>15</v>
      </c>
      <c r="C134" s="4" t="s">
        <v>21</v>
      </c>
      <c r="D134" s="4">
        <v>30</v>
      </c>
      <c r="E134" s="10">
        <v>44606</v>
      </c>
      <c r="F134" s="6">
        <v>96800</v>
      </c>
      <c r="G134" s="4" t="s">
        <v>16</v>
      </c>
      <c r="H134" s="4" t="s">
        <v>205</v>
      </c>
      <c r="I134" s="11">
        <f ca="1">(TODAY()-staff[[#This Row],[Date Joined]])/365</f>
        <v>4.4219178082191783</v>
      </c>
      <c r="J134" s="29">
        <f ca="1">ROUNDUP(IF(staff[[#This Row],[Tenure]]&gt;2,3%,2%)*staff[[#This Row],[Salary]],0)</f>
        <v>2904</v>
      </c>
      <c r="K134" s="4">
        <f>_xlfn.XLOOKUP(staff[[#This Row],[Rating]],'Rating map table'!A$2:A$6,'Rating map table'!B$2:B$6)</f>
        <v>3</v>
      </c>
    </row>
    <row r="135" spans="1:11" x14ac:dyDescent="0.3">
      <c r="A135" s="4" t="s">
        <v>177</v>
      </c>
      <c r="B135" s="4" t="s">
        <v>15</v>
      </c>
      <c r="C135" s="4" t="s">
        <v>21</v>
      </c>
      <c r="D135" s="4">
        <v>30</v>
      </c>
      <c r="E135" s="10">
        <v>44544</v>
      </c>
      <c r="F135" s="6">
        <v>96800</v>
      </c>
      <c r="G135" s="4" t="s">
        <v>16</v>
      </c>
      <c r="H135" s="4" t="s">
        <v>207</v>
      </c>
      <c r="I135" s="11">
        <f ca="1">(TODAY()-staff[[#This Row],[Date Joined]])/365</f>
        <v>4.5917808219178085</v>
      </c>
      <c r="J135" s="29">
        <f ca="1">ROUNDUP(IF(staff[[#This Row],[Tenure]]&gt;2,3%,2%)*staff[[#This Row],[Salary]],0)</f>
        <v>2904</v>
      </c>
      <c r="K135" s="4">
        <f>_xlfn.XLOOKUP(staff[[#This Row],[Rating]],'Rating map table'!A$2:A$6,'Rating map table'!B$2:B$6)</f>
        <v>3</v>
      </c>
    </row>
    <row r="136" spans="1:11" x14ac:dyDescent="0.3">
      <c r="A136" s="4" t="s">
        <v>105</v>
      </c>
      <c r="B136" s="4" t="s">
        <v>15</v>
      </c>
      <c r="C136" s="4" t="s">
        <v>9</v>
      </c>
      <c r="D136" s="4">
        <v>40</v>
      </c>
      <c r="E136" s="10">
        <v>44263</v>
      </c>
      <c r="F136" s="6">
        <v>99750</v>
      </c>
      <c r="G136" s="4" t="s">
        <v>16</v>
      </c>
      <c r="H136" s="4" t="s">
        <v>205</v>
      </c>
      <c r="I136" s="11">
        <f ca="1">(TODAY()-staff[[#This Row],[Date Joined]])/365</f>
        <v>5.3616438356164382</v>
      </c>
      <c r="J136" s="29">
        <f ca="1">ROUNDUP(IF(staff[[#This Row],[Tenure]]&gt;2,3%,2%)*staff[[#This Row],[Salary]],0)</f>
        <v>2993</v>
      </c>
      <c r="K136" s="4">
        <f>_xlfn.XLOOKUP(staff[[#This Row],[Rating]],'Rating map table'!A$2:A$6,'Rating map table'!B$2:B$6)</f>
        <v>3</v>
      </c>
    </row>
    <row r="137" spans="1:11" x14ac:dyDescent="0.3">
      <c r="A137" s="4" t="s">
        <v>198</v>
      </c>
      <c r="B137" s="4" t="s">
        <v>15</v>
      </c>
      <c r="C137" s="4" t="s">
        <v>9</v>
      </c>
      <c r="D137" s="4">
        <v>40</v>
      </c>
      <c r="E137" s="10">
        <v>44204</v>
      </c>
      <c r="F137" s="6">
        <v>99750</v>
      </c>
      <c r="G137" s="4" t="s">
        <v>16</v>
      </c>
      <c r="H137" s="4" t="s">
        <v>207</v>
      </c>
      <c r="I137" s="11">
        <f ca="1">(TODAY()-staff[[#This Row],[Date Joined]])/365</f>
        <v>5.5232876712328771</v>
      </c>
      <c r="J137" s="29">
        <f ca="1">ROUNDUP(IF(staff[[#This Row],[Tenure]]&gt;2,3%,2%)*staff[[#This Row],[Salary]],0)</f>
        <v>2993</v>
      </c>
      <c r="K137" s="4">
        <f>_xlfn.XLOOKUP(staff[[#This Row],[Rating]],'Rating map table'!A$2:A$6,'Rating map table'!B$2:B$6)</f>
        <v>3</v>
      </c>
    </row>
    <row r="138" spans="1:11" x14ac:dyDescent="0.3">
      <c r="A138" s="4" t="s">
        <v>107</v>
      </c>
      <c r="B138" s="4" t="s">
        <v>8</v>
      </c>
      <c r="C138" s="4" t="s">
        <v>9</v>
      </c>
      <c r="D138" s="4">
        <v>28</v>
      </c>
      <c r="E138" s="10">
        <v>44630</v>
      </c>
      <c r="F138" s="6">
        <v>99970</v>
      </c>
      <c r="G138" s="4" t="s">
        <v>16</v>
      </c>
      <c r="H138" s="4" t="s">
        <v>205</v>
      </c>
      <c r="I138" s="11">
        <f ca="1">(TODAY()-staff[[#This Row],[Date Joined]])/365</f>
        <v>4.3561643835616435</v>
      </c>
      <c r="J138" s="29">
        <f ca="1">ROUNDUP(IF(staff[[#This Row],[Tenure]]&gt;2,3%,2%)*staff[[#This Row],[Salary]],0)</f>
        <v>3000</v>
      </c>
      <c r="K138" s="4">
        <f>_xlfn.XLOOKUP(staff[[#This Row],[Rating]],'Rating map table'!A$2:A$6,'Rating map table'!B$2:B$6)</f>
        <v>3</v>
      </c>
    </row>
    <row r="139" spans="1:11" x14ac:dyDescent="0.3">
      <c r="A139" s="4" t="s">
        <v>200</v>
      </c>
      <c r="B139" s="4" t="s">
        <v>8</v>
      </c>
      <c r="C139" s="4" t="s">
        <v>9</v>
      </c>
      <c r="D139" s="4">
        <v>28</v>
      </c>
      <c r="E139" s="10">
        <v>44571</v>
      </c>
      <c r="F139" s="6">
        <v>99970</v>
      </c>
      <c r="G139" s="4" t="s">
        <v>16</v>
      </c>
      <c r="H139" s="4" t="s">
        <v>207</v>
      </c>
      <c r="I139" s="11">
        <f ca="1">(TODAY()-staff[[#This Row],[Date Joined]])/365</f>
        <v>4.5178082191780824</v>
      </c>
      <c r="J139" s="29">
        <f ca="1">ROUNDUP(IF(staff[[#This Row],[Tenure]]&gt;2,3%,2%)*staff[[#This Row],[Salary]],0)</f>
        <v>3000</v>
      </c>
      <c r="K139" s="4">
        <f>_xlfn.XLOOKUP(staff[[#This Row],[Rating]],'Rating map table'!A$2:A$6,'Rating map table'!B$2:B$6)</f>
        <v>3</v>
      </c>
    </row>
    <row r="140" spans="1:11" x14ac:dyDescent="0.3">
      <c r="A140" s="4" t="s">
        <v>103</v>
      </c>
      <c r="B140" s="4" t="s">
        <v>15</v>
      </c>
      <c r="C140" s="4" t="s">
        <v>12</v>
      </c>
      <c r="D140" s="4">
        <v>24</v>
      </c>
      <c r="E140" s="10">
        <v>44686</v>
      </c>
      <c r="F140" s="6">
        <v>100420</v>
      </c>
      <c r="G140" s="4" t="s">
        <v>16</v>
      </c>
      <c r="H140" s="4" t="s">
        <v>205</v>
      </c>
      <c r="I140" s="11">
        <f ca="1">(TODAY()-staff[[#This Row],[Date Joined]])/365</f>
        <v>4.2027397260273975</v>
      </c>
      <c r="J140" s="29">
        <f ca="1">ROUNDUP(IF(staff[[#This Row],[Tenure]]&gt;2,3%,2%)*staff[[#This Row],[Salary]],0)</f>
        <v>3013</v>
      </c>
      <c r="K140" s="4">
        <f>_xlfn.XLOOKUP(staff[[#This Row],[Rating]],'Rating map table'!A$2:A$6,'Rating map table'!B$2:B$6)</f>
        <v>3</v>
      </c>
    </row>
    <row r="141" spans="1:11" x14ac:dyDescent="0.3">
      <c r="A141" s="4" t="s">
        <v>196</v>
      </c>
      <c r="B141" s="4" t="s">
        <v>15</v>
      </c>
      <c r="C141" s="4" t="s">
        <v>12</v>
      </c>
      <c r="D141" s="4">
        <v>24</v>
      </c>
      <c r="E141" s="10">
        <v>44625</v>
      </c>
      <c r="F141" s="6">
        <v>100420</v>
      </c>
      <c r="G141" s="4" t="s">
        <v>16</v>
      </c>
      <c r="H141" s="4" t="s">
        <v>207</v>
      </c>
      <c r="I141" s="11">
        <f ca="1">(TODAY()-staff[[#This Row],[Date Joined]])/365</f>
        <v>4.3698630136986303</v>
      </c>
      <c r="J141" s="29">
        <f ca="1">ROUNDUP(IF(staff[[#This Row],[Tenure]]&gt;2,3%,2%)*staff[[#This Row],[Salary]],0)</f>
        <v>3013</v>
      </c>
      <c r="K141" s="4">
        <f>_xlfn.XLOOKUP(staff[[#This Row],[Rating]],'Rating map table'!A$2:A$6,'Rating map table'!B$2:B$6)</f>
        <v>3</v>
      </c>
    </row>
    <row r="142" spans="1:11" x14ac:dyDescent="0.3">
      <c r="A142" s="4" t="s">
        <v>50</v>
      </c>
      <c r="B142" s="4" t="s">
        <v>15</v>
      </c>
      <c r="C142" s="4" t="s">
        <v>9</v>
      </c>
      <c r="D142" s="4">
        <v>31</v>
      </c>
      <c r="E142" s="10">
        <v>44724</v>
      </c>
      <c r="F142" s="6">
        <v>103550</v>
      </c>
      <c r="G142" s="4" t="s">
        <v>16</v>
      </c>
      <c r="H142" s="4" t="s">
        <v>205</v>
      </c>
      <c r="I142" s="11">
        <f ca="1">(TODAY()-staff[[#This Row],[Date Joined]])/365</f>
        <v>4.0986301369863014</v>
      </c>
      <c r="J142" s="29">
        <f ca="1">ROUNDUP(IF(staff[[#This Row],[Tenure]]&gt;2,3%,2%)*staff[[#This Row],[Salary]],0)</f>
        <v>3107</v>
      </c>
      <c r="K142" s="4">
        <f>_xlfn.XLOOKUP(staff[[#This Row],[Rating]],'Rating map table'!A$2:A$6,'Rating map table'!B$2:B$6)</f>
        <v>3</v>
      </c>
    </row>
    <row r="143" spans="1:11" x14ac:dyDescent="0.3">
      <c r="A143" s="4" t="s">
        <v>143</v>
      </c>
      <c r="B143" s="4" t="s">
        <v>15</v>
      </c>
      <c r="C143" s="4" t="s">
        <v>9</v>
      </c>
      <c r="D143" s="4">
        <v>31</v>
      </c>
      <c r="E143" s="10">
        <v>44663</v>
      </c>
      <c r="F143" s="6">
        <v>103550</v>
      </c>
      <c r="G143" s="4" t="s">
        <v>16</v>
      </c>
      <c r="H143" s="4" t="s">
        <v>207</v>
      </c>
      <c r="I143" s="11">
        <f ca="1">(TODAY()-staff[[#This Row],[Date Joined]])/365</f>
        <v>4.2657534246575342</v>
      </c>
      <c r="J143" s="29">
        <f ca="1">ROUNDUP(IF(staff[[#This Row],[Tenure]]&gt;2,3%,2%)*staff[[#This Row],[Salary]],0)</f>
        <v>3107</v>
      </c>
      <c r="K143" s="4">
        <f>_xlfn.XLOOKUP(staff[[#This Row],[Rating]],'Rating map table'!A$2:A$6,'Rating map table'!B$2:B$6)</f>
        <v>3</v>
      </c>
    </row>
    <row r="144" spans="1:11" x14ac:dyDescent="0.3">
      <c r="A144" s="4" t="s">
        <v>96</v>
      </c>
      <c r="B144" s="4" t="s">
        <v>8</v>
      </c>
      <c r="C144" s="4" t="s">
        <v>9</v>
      </c>
      <c r="D144" s="4">
        <v>28</v>
      </c>
      <c r="E144" s="10">
        <v>44649</v>
      </c>
      <c r="F144" s="6">
        <v>104120</v>
      </c>
      <c r="G144" s="4" t="s">
        <v>16</v>
      </c>
      <c r="H144" s="4" t="s">
        <v>205</v>
      </c>
      <c r="I144" s="11">
        <f ca="1">(TODAY()-staff[[#This Row],[Date Joined]])/365</f>
        <v>4.3041095890410963</v>
      </c>
      <c r="J144" s="29">
        <f ca="1">ROUNDUP(IF(staff[[#This Row],[Tenure]]&gt;2,3%,2%)*staff[[#This Row],[Salary]],0)</f>
        <v>3124</v>
      </c>
      <c r="K144" s="4">
        <f>_xlfn.XLOOKUP(staff[[#This Row],[Rating]],'Rating map table'!A$2:A$6,'Rating map table'!B$2:B$6)</f>
        <v>3</v>
      </c>
    </row>
    <row r="145" spans="1:11" x14ac:dyDescent="0.3">
      <c r="A145" s="4" t="s">
        <v>189</v>
      </c>
      <c r="B145" s="4" t="s">
        <v>8</v>
      </c>
      <c r="C145" s="4" t="s">
        <v>9</v>
      </c>
      <c r="D145" s="4">
        <v>28</v>
      </c>
      <c r="E145" s="10">
        <v>44590</v>
      </c>
      <c r="F145" s="6">
        <v>104120</v>
      </c>
      <c r="G145" s="4" t="s">
        <v>16</v>
      </c>
      <c r="H145" s="4" t="s">
        <v>207</v>
      </c>
      <c r="I145" s="11">
        <f ca="1">(TODAY()-staff[[#This Row],[Date Joined]])/365</f>
        <v>4.4657534246575343</v>
      </c>
      <c r="J145" s="29">
        <f ca="1">ROUNDUP(IF(staff[[#This Row],[Tenure]]&gt;2,3%,2%)*staff[[#This Row],[Salary]],0)</f>
        <v>3124</v>
      </c>
      <c r="K145" s="4">
        <f>_xlfn.XLOOKUP(staff[[#This Row],[Rating]],'Rating map table'!A$2:A$6,'Rating map table'!B$2:B$6)</f>
        <v>3</v>
      </c>
    </row>
    <row r="146" spans="1:11" x14ac:dyDescent="0.3">
      <c r="A146" s="4" t="s">
        <v>101</v>
      </c>
      <c r="B146" s="4" t="s">
        <v>8</v>
      </c>
      <c r="C146" s="4" t="s">
        <v>12</v>
      </c>
      <c r="D146" s="4">
        <v>40</v>
      </c>
      <c r="E146" s="10">
        <v>44381</v>
      </c>
      <c r="F146" s="6">
        <v>104410</v>
      </c>
      <c r="G146" s="4" t="s">
        <v>16</v>
      </c>
      <c r="H146" s="4" t="s">
        <v>205</v>
      </c>
      <c r="I146" s="11">
        <f ca="1">(TODAY()-staff[[#This Row],[Date Joined]])/365</f>
        <v>5.0383561643835613</v>
      </c>
      <c r="J146" s="29">
        <f ca="1">ROUNDUP(IF(staff[[#This Row],[Tenure]]&gt;2,3%,2%)*staff[[#This Row],[Salary]],0)</f>
        <v>3133</v>
      </c>
      <c r="K146" s="4">
        <f>_xlfn.XLOOKUP(staff[[#This Row],[Rating]],'Rating map table'!A$2:A$6,'Rating map table'!B$2:B$6)</f>
        <v>3</v>
      </c>
    </row>
    <row r="147" spans="1:11" x14ac:dyDescent="0.3">
      <c r="A147" s="4" t="s">
        <v>194</v>
      </c>
      <c r="B147" s="4" t="s">
        <v>8</v>
      </c>
      <c r="C147" s="4" t="s">
        <v>12</v>
      </c>
      <c r="D147" s="4">
        <v>40</v>
      </c>
      <c r="E147" s="10">
        <v>44320</v>
      </c>
      <c r="F147" s="6">
        <v>104410</v>
      </c>
      <c r="G147" s="4" t="s">
        <v>16</v>
      </c>
      <c r="H147" s="4" t="s">
        <v>207</v>
      </c>
      <c r="I147" s="11">
        <f ca="1">(TODAY()-staff[[#This Row],[Date Joined]])/365</f>
        <v>5.2054794520547949</v>
      </c>
      <c r="J147" s="29">
        <f ca="1">ROUNDUP(IF(staff[[#This Row],[Tenure]]&gt;2,3%,2%)*staff[[#This Row],[Salary]],0)</f>
        <v>3133</v>
      </c>
      <c r="K147" s="4">
        <f>_xlfn.XLOOKUP(staff[[#This Row],[Rating]],'Rating map table'!A$2:A$6,'Rating map table'!B$2:B$6)</f>
        <v>3</v>
      </c>
    </row>
    <row r="148" spans="1:11" x14ac:dyDescent="0.3">
      <c r="A148" s="4" t="s">
        <v>43</v>
      </c>
      <c r="B148" s="4" t="s">
        <v>8</v>
      </c>
      <c r="C148" s="4" t="s">
        <v>9</v>
      </c>
      <c r="D148" s="4">
        <v>28</v>
      </c>
      <c r="E148" s="10">
        <v>44486</v>
      </c>
      <c r="F148" s="6">
        <v>104770</v>
      </c>
      <c r="G148" s="4" t="s">
        <v>16</v>
      </c>
      <c r="H148" s="4" t="s">
        <v>205</v>
      </c>
      <c r="I148" s="11">
        <f ca="1">(TODAY()-staff[[#This Row],[Date Joined]])/365</f>
        <v>4.7506849315068491</v>
      </c>
      <c r="J148" s="29">
        <f ca="1">ROUNDUP(IF(staff[[#This Row],[Tenure]]&gt;2,3%,2%)*staff[[#This Row],[Salary]],0)</f>
        <v>3144</v>
      </c>
      <c r="K148" s="4">
        <f>_xlfn.XLOOKUP(staff[[#This Row],[Rating]],'Rating map table'!A$2:A$6,'Rating map table'!B$2:B$6)</f>
        <v>3</v>
      </c>
    </row>
    <row r="149" spans="1:11" x14ac:dyDescent="0.3">
      <c r="A149" s="4" t="s">
        <v>136</v>
      </c>
      <c r="B149" s="4" t="s">
        <v>8</v>
      </c>
      <c r="C149" s="4" t="s">
        <v>9</v>
      </c>
      <c r="D149" s="4">
        <v>28</v>
      </c>
      <c r="E149" s="10">
        <v>44425</v>
      </c>
      <c r="F149" s="6">
        <v>104770</v>
      </c>
      <c r="G149" s="4" t="s">
        <v>16</v>
      </c>
      <c r="H149" s="4" t="s">
        <v>207</v>
      </c>
      <c r="I149" s="11">
        <f ca="1">(TODAY()-staff[[#This Row],[Date Joined]])/365</f>
        <v>4.9178082191780819</v>
      </c>
      <c r="J149" s="29">
        <f ca="1">ROUNDUP(IF(staff[[#This Row],[Tenure]]&gt;2,3%,2%)*staff[[#This Row],[Salary]],0)</f>
        <v>3144</v>
      </c>
      <c r="K149" s="4">
        <f>_xlfn.XLOOKUP(staff[[#This Row],[Rating]],'Rating map table'!A$2:A$6,'Rating map table'!B$2:B$6)</f>
        <v>3</v>
      </c>
    </row>
    <row r="150" spans="1:11" x14ac:dyDescent="0.3">
      <c r="A150" s="4" t="s">
        <v>69</v>
      </c>
      <c r="B150" s="4" t="s">
        <v>15</v>
      </c>
      <c r="C150" s="4" t="s">
        <v>9</v>
      </c>
      <c r="D150" s="4">
        <v>23</v>
      </c>
      <c r="E150" s="10">
        <v>44440</v>
      </c>
      <c r="F150" s="6">
        <v>106460</v>
      </c>
      <c r="G150" s="4" t="s">
        <v>16</v>
      </c>
      <c r="H150" s="4" t="s">
        <v>205</v>
      </c>
      <c r="I150" s="11">
        <f ca="1">(TODAY()-staff[[#This Row],[Date Joined]])/365</f>
        <v>4.8767123287671232</v>
      </c>
      <c r="J150" s="29">
        <f ca="1">ROUNDUP(IF(staff[[#This Row],[Tenure]]&gt;2,3%,2%)*staff[[#This Row],[Salary]],0)</f>
        <v>3194</v>
      </c>
      <c r="K150" s="4">
        <f>_xlfn.XLOOKUP(staff[[#This Row],[Rating]],'Rating map table'!A$2:A$6,'Rating map table'!B$2:B$6)</f>
        <v>3</v>
      </c>
    </row>
    <row r="151" spans="1:11" x14ac:dyDescent="0.3">
      <c r="A151" s="4" t="s">
        <v>161</v>
      </c>
      <c r="B151" s="4" t="s">
        <v>15</v>
      </c>
      <c r="C151" s="4" t="s">
        <v>9</v>
      </c>
      <c r="D151" s="4">
        <v>23</v>
      </c>
      <c r="E151" s="10">
        <v>44378</v>
      </c>
      <c r="F151" s="6">
        <v>106460</v>
      </c>
      <c r="G151" s="4" t="s">
        <v>16</v>
      </c>
      <c r="H151" s="4" t="s">
        <v>207</v>
      </c>
      <c r="I151" s="11">
        <f ca="1">(TODAY()-staff[[#This Row],[Date Joined]])/365</f>
        <v>5.0465753424657533</v>
      </c>
      <c r="J151" s="29">
        <f ca="1">ROUNDUP(IF(staff[[#This Row],[Tenure]]&gt;2,3%,2%)*staff[[#This Row],[Salary]],0)</f>
        <v>3194</v>
      </c>
      <c r="K151" s="4">
        <f>_xlfn.XLOOKUP(staff[[#This Row],[Rating]],'Rating map table'!A$2:A$6,'Rating map table'!B$2:B$6)</f>
        <v>3</v>
      </c>
    </row>
    <row r="152" spans="1:11" x14ac:dyDescent="0.3">
      <c r="A152" s="4" t="s">
        <v>22</v>
      </c>
      <c r="B152" s="4" t="s">
        <v>15</v>
      </c>
      <c r="C152" s="4" t="s">
        <v>12</v>
      </c>
      <c r="D152" s="4">
        <v>20</v>
      </c>
      <c r="E152" s="10">
        <v>44459</v>
      </c>
      <c r="F152" s="6">
        <v>107700</v>
      </c>
      <c r="G152" s="4" t="s">
        <v>16</v>
      </c>
      <c r="H152" s="4" t="s">
        <v>205</v>
      </c>
      <c r="I152" s="11">
        <f ca="1">(TODAY()-staff[[#This Row],[Date Joined]])/365</f>
        <v>4.8246575342465752</v>
      </c>
      <c r="J152" s="29">
        <f ca="1">ROUNDUP(IF(staff[[#This Row],[Tenure]]&gt;2,3%,2%)*staff[[#This Row],[Salary]],0)</f>
        <v>3231</v>
      </c>
      <c r="K152" s="4">
        <f>_xlfn.XLOOKUP(staff[[#This Row],[Rating]],'Rating map table'!A$2:A$6,'Rating map table'!B$2:B$6)</f>
        <v>3</v>
      </c>
    </row>
    <row r="153" spans="1:11" x14ac:dyDescent="0.3">
      <c r="A153" s="4" t="s">
        <v>117</v>
      </c>
      <c r="B153" s="4" t="s">
        <v>15</v>
      </c>
      <c r="C153" s="4" t="s">
        <v>12</v>
      </c>
      <c r="D153" s="4">
        <v>20</v>
      </c>
      <c r="E153" s="10">
        <v>44397</v>
      </c>
      <c r="F153" s="6">
        <v>107700</v>
      </c>
      <c r="G153" s="4" t="s">
        <v>16</v>
      </c>
      <c r="H153" s="4" t="s">
        <v>207</v>
      </c>
      <c r="I153" s="11">
        <f ca="1">(TODAY()-staff[[#This Row],[Date Joined]])/365</f>
        <v>4.9945205479452053</v>
      </c>
      <c r="J153" s="29">
        <f ca="1">ROUNDUP(IF(staff[[#This Row],[Tenure]]&gt;2,3%,2%)*staff[[#This Row],[Salary]],0)</f>
        <v>3231</v>
      </c>
      <c r="K153" s="4">
        <f>_xlfn.XLOOKUP(staff[[#This Row],[Rating]],'Rating map table'!A$2:A$6,'Rating map table'!B$2:B$6)</f>
        <v>3</v>
      </c>
    </row>
    <row r="154" spans="1:11" x14ac:dyDescent="0.3">
      <c r="A154" s="4" t="s">
        <v>33</v>
      </c>
      <c r="B154" s="4" t="s">
        <v>8</v>
      </c>
      <c r="C154" s="4" t="s">
        <v>19</v>
      </c>
      <c r="D154" s="4">
        <v>38</v>
      </c>
      <c r="E154" s="10">
        <v>44377</v>
      </c>
      <c r="F154" s="6">
        <v>109160</v>
      </c>
      <c r="G154" s="4" t="s">
        <v>10</v>
      </c>
      <c r="H154" s="4" t="s">
        <v>205</v>
      </c>
      <c r="I154" s="11">
        <f ca="1">(TODAY()-staff[[#This Row],[Date Joined]])/365</f>
        <v>5.0493150684931507</v>
      </c>
      <c r="J154" s="29">
        <f ca="1">ROUNDUP(IF(staff[[#This Row],[Tenure]]&gt;2,3%,2%)*staff[[#This Row],[Salary]],0)</f>
        <v>3275</v>
      </c>
      <c r="K154" s="4">
        <f>_xlfn.XLOOKUP(staff[[#This Row],[Rating]],'Rating map table'!A$2:A$6,'Rating map table'!B$2:B$6)</f>
        <v>5</v>
      </c>
    </row>
    <row r="155" spans="1:11" x14ac:dyDescent="0.3">
      <c r="A155" s="4" t="s">
        <v>127</v>
      </c>
      <c r="B155" s="4" t="s">
        <v>8</v>
      </c>
      <c r="C155" s="4" t="s">
        <v>19</v>
      </c>
      <c r="D155" s="4">
        <v>38</v>
      </c>
      <c r="E155" s="10">
        <v>44316</v>
      </c>
      <c r="F155" s="6">
        <v>109160</v>
      </c>
      <c r="G155" s="4" t="s">
        <v>10</v>
      </c>
      <c r="H155" s="4" t="s">
        <v>207</v>
      </c>
      <c r="I155" s="11">
        <f ca="1">(TODAY()-staff[[#This Row],[Date Joined]])/365</f>
        <v>5.2164383561643834</v>
      </c>
      <c r="J155" s="29">
        <f ca="1">ROUNDUP(IF(staff[[#This Row],[Tenure]]&gt;2,3%,2%)*staff[[#This Row],[Salary]],0)</f>
        <v>3275</v>
      </c>
      <c r="K155" s="4">
        <f>_xlfn.XLOOKUP(staff[[#This Row],[Rating]],'Rating map table'!A$2:A$6,'Rating map table'!B$2:B$6)</f>
        <v>5</v>
      </c>
    </row>
    <row r="156" spans="1:11" x14ac:dyDescent="0.3">
      <c r="A156" s="4" t="s">
        <v>34</v>
      </c>
      <c r="B156" s="4" t="s">
        <v>15</v>
      </c>
      <c r="C156" s="4" t="s">
        <v>9</v>
      </c>
      <c r="D156" s="4">
        <v>25</v>
      </c>
      <c r="E156" s="10">
        <v>44726</v>
      </c>
      <c r="F156" s="6">
        <v>109190</v>
      </c>
      <c r="G156" s="4" t="s">
        <v>13</v>
      </c>
      <c r="H156" s="4" t="s">
        <v>205</v>
      </c>
      <c r="I156" s="11">
        <f ca="1">(TODAY()-staff[[#This Row],[Date Joined]])/365</f>
        <v>4.0931506849315067</v>
      </c>
      <c r="J156" s="29">
        <f ca="1">ROUNDUP(IF(staff[[#This Row],[Tenure]]&gt;2,3%,2%)*staff[[#This Row],[Salary]],0)</f>
        <v>3276</v>
      </c>
      <c r="K156" s="4">
        <f>_xlfn.XLOOKUP(staff[[#This Row],[Rating]],'Rating map table'!A$2:A$6,'Rating map table'!B$2:B$6)</f>
        <v>4</v>
      </c>
    </row>
    <row r="157" spans="1:11" x14ac:dyDescent="0.3">
      <c r="A157" s="4" t="s">
        <v>128</v>
      </c>
      <c r="B157" s="4" t="s">
        <v>15</v>
      </c>
      <c r="C157" s="4" t="s">
        <v>9</v>
      </c>
      <c r="D157" s="4">
        <v>25</v>
      </c>
      <c r="E157" s="10">
        <v>44665</v>
      </c>
      <c r="F157" s="6">
        <v>109190</v>
      </c>
      <c r="G157" s="4" t="s">
        <v>13</v>
      </c>
      <c r="H157" s="4" t="s">
        <v>207</v>
      </c>
      <c r="I157" s="11">
        <f ca="1">(TODAY()-staff[[#This Row],[Date Joined]])/365</f>
        <v>4.2602739726027394</v>
      </c>
      <c r="J157" s="29">
        <f ca="1">ROUNDUP(IF(staff[[#This Row],[Tenure]]&gt;2,3%,2%)*staff[[#This Row],[Salary]],0)</f>
        <v>3276</v>
      </c>
      <c r="K157" s="4">
        <f>_xlfn.XLOOKUP(staff[[#This Row],[Rating]],'Rating map table'!A$2:A$6,'Rating map table'!B$2:B$6)</f>
        <v>4</v>
      </c>
    </row>
    <row r="158" spans="1:11" x14ac:dyDescent="0.3">
      <c r="A158" s="4" t="s">
        <v>87</v>
      </c>
      <c r="B158" s="4" t="s">
        <v>15</v>
      </c>
      <c r="C158" s="4" t="s">
        <v>12</v>
      </c>
      <c r="D158" s="4">
        <v>29</v>
      </c>
      <c r="E158" s="10">
        <v>44180</v>
      </c>
      <c r="F158" s="6">
        <v>112110</v>
      </c>
      <c r="G158" s="4" t="s">
        <v>24</v>
      </c>
      <c r="H158" s="4" t="s">
        <v>205</v>
      </c>
      <c r="I158" s="11">
        <f ca="1">(TODAY()-staff[[#This Row],[Date Joined]])/365</f>
        <v>5.5890410958904111</v>
      </c>
      <c r="J158" s="29">
        <f ca="1">ROUNDUP(IF(staff[[#This Row],[Tenure]]&gt;2,3%,2%)*staff[[#This Row],[Salary]],0)</f>
        <v>3364</v>
      </c>
      <c r="K158" s="4">
        <f>_xlfn.XLOOKUP(staff[[#This Row],[Rating]],'Rating map table'!A$2:A$6,'Rating map table'!B$2:B$6)</f>
        <v>2</v>
      </c>
    </row>
    <row r="159" spans="1:11" x14ac:dyDescent="0.3">
      <c r="A159" s="4" t="s">
        <v>180</v>
      </c>
      <c r="B159" s="4" t="s">
        <v>15</v>
      </c>
      <c r="C159" s="4" t="s">
        <v>12</v>
      </c>
      <c r="D159" s="4">
        <v>29</v>
      </c>
      <c r="E159" s="10">
        <v>44119</v>
      </c>
      <c r="F159" s="6">
        <v>112110</v>
      </c>
      <c r="G159" s="4" t="s">
        <v>24</v>
      </c>
      <c r="H159" s="4" t="s">
        <v>207</v>
      </c>
      <c r="I159" s="11">
        <f ca="1">(TODAY()-staff[[#This Row],[Date Joined]])/365</f>
        <v>5.7561643835616438</v>
      </c>
      <c r="J159" s="29">
        <f ca="1">ROUNDUP(IF(staff[[#This Row],[Tenure]]&gt;2,3%,2%)*staff[[#This Row],[Salary]],0)</f>
        <v>3364</v>
      </c>
      <c r="K159" s="4">
        <f>_xlfn.XLOOKUP(staff[[#This Row],[Rating]],'Rating map table'!A$2:A$6,'Rating map table'!B$2:B$6)</f>
        <v>2</v>
      </c>
    </row>
    <row r="160" spans="1:11" x14ac:dyDescent="0.3">
      <c r="A160" s="4" t="s">
        <v>81</v>
      </c>
      <c r="B160" s="4" t="s">
        <v>8</v>
      </c>
      <c r="C160" s="4" t="s">
        <v>9</v>
      </c>
      <c r="D160" s="4">
        <v>30</v>
      </c>
      <c r="E160" s="10">
        <v>44861</v>
      </c>
      <c r="F160" s="6">
        <v>112570</v>
      </c>
      <c r="G160" s="4" t="s">
        <v>16</v>
      </c>
      <c r="H160" s="4" t="s">
        <v>205</v>
      </c>
      <c r="I160" s="11">
        <f ca="1">(TODAY()-staff[[#This Row],[Date Joined]])/365</f>
        <v>3.7232876712328768</v>
      </c>
      <c r="J160" s="29">
        <f ca="1">ROUNDUP(IF(staff[[#This Row],[Tenure]]&gt;2,3%,2%)*staff[[#This Row],[Salary]],0)</f>
        <v>3378</v>
      </c>
      <c r="K160" s="4">
        <f>_xlfn.XLOOKUP(staff[[#This Row],[Rating]],'Rating map table'!A$2:A$6,'Rating map table'!B$2:B$6)</f>
        <v>3</v>
      </c>
    </row>
    <row r="161" spans="1:11" x14ac:dyDescent="0.3">
      <c r="A161" s="4" t="s">
        <v>173</v>
      </c>
      <c r="B161" s="4" t="s">
        <v>8</v>
      </c>
      <c r="C161" s="4" t="s">
        <v>9</v>
      </c>
      <c r="D161" s="4">
        <v>30</v>
      </c>
      <c r="E161" s="10">
        <v>44800</v>
      </c>
      <c r="F161" s="6">
        <v>112570</v>
      </c>
      <c r="G161" s="4" t="s">
        <v>16</v>
      </c>
      <c r="H161" s="4" t="s">
        <v>207</v>
      </c>
      <c r="I161" s="11">
        <f ca="1">(TODAY()-staff[[#This Row],[Date Joined]])/365</f>
        <v>3.8904109589041096</v>
      </c>
      <c r="J161" s="29">
        <f ca="1">ROUNDUP(IF(staff[[#This Row],[Tenure]]&gt;2,3%,2%)*staff[[#This Row],[Salary]],0)</f>
        <v>3378</v>
      </c>
      <c r="K161" s="4">
        <f>_xlfn.XLOOKUP(staff[[#This Row],[Rating]],'Rating map table'!A$2:A$6,'Rating map table'!B$2:B$6)</f>
        <v>3</v>
      </c>
    </row>
    <row r="162" spans="1:11" x14ac:dyDescent="0.3">
      <c r="A162" s="4" t="s">
        <v>64</v>
      </c>
      <c r="B162" s="4" t="s">
        <v>15</v>
      </c>
      <c r="C162" s="4" t="s">
        <v>12</v>
      </c>
      <c r="D162" s="4">
        <v>20</v>
      </c>
      <c r="E162" s="10">
        <v>44183</v>
      </c>
      <c r="F162" s="6">
        <v>112650</v>
      </c>
      <c r="G162" s="4" t="s">
        <v>16</v>
      </c>
      <c r="H162" s="4" t="s">
        <v>205</v>
      </c>
      <c r="I162" s="11">
        <f ca="1">(TODAY()-staff[[#This Row],[Date Joined]])/365</f>
        <v>5.580821917808219</v>
      </c>
      <c r="J162" s="29">
        <f ca="1">ROUNDUP(IF(staff[[#This Row],[Tenure]]&gt;2,3%,2%)*staff[[#This Row],[Salary]],0)</f>
        <v>3380</v>
      </c>
      <c r="K162" s="4">
        <f>_xlfn.XLOOKUP(staff[[#This Row],[Rating]],'Rating map table'!A$2:A$6,'Rating map table'!B$2:B$6)</f>
        <v>3</v>
      </c>
    </row>
    <row r="163" spans="1:11" x14ac:dyDescent="0.3">
      <c r="A163" s="4" t="s">
        <v>156</v>
      </c>
      <c r="B163" s="4" t="s">
        <v>15</v>
      </c>
      <c r="C163" s="4" t="s">
        <v>12</v>
      </c>
      <c r="D163" s="4">
        <v>20</v>
      </c>
      <c r="E163" s="10">
        <v>44122</v>
      </c>
      <c r="F163" s="6">
        <v>112650</v>
      </c>
      <c r="G163" s="4" t="s">
        <v>16</v>
      </c>
      <c r="H163" s="4" t="s">
        <v>207</v>
      </c>
      <c r="I163" s="11">
        <f ca="1">(TODAY()-staff[[#This Row],[Date Joined]])/365</f>
        <v>5.7479452054794518</v>
      </c>
      <c r="J163" s="29">
        <f ca="1">ROUNDUP(IF(staff[[#This Row],[Tenure]]&gt;2,3%,2%)*staff[[#This Row],[Salary]],0)</f>
        <v>3380</v>
      </c>
      <c r="K163" s="4">
        <f>_xlfn.XLOOKUP(staff[[#This Row],[Rating]],'Rating map table'!A$2:A$6,'Rating map table'!B$2:B$6)</f>
        <v>3</v>
      </c>
    </row>
    <row r="164" spans="1:11" x14ac:dyDescent="0.3">
      <c r="A164" s="4" t="s">
        <v>178</v>
      </c>
      <c r="B164" s="4" t="s">
        <v>15</v>
      </c>
      <c r="C164" s="4" t="s">
        <v>9</v>
      </c>
      <c r="D164" s="4">
        <v>34</v>
      </c>
      <c r="E164" s="10">
        <v>44642</v>
      </c>
      <c r="F164" s="6">
        <v>112650</v>
      </c>
      <c r="G164" s="4" t="s">
        <v>16</v>
      </c>
      <c r="H164" s="4" t="s">
        <v>207</v>
      </c>
      <c r="I164" s="11">
        <f ca="1">(TODAY()-staff[[#This Row],[Date Joined]])/365</f>
        <v>4.3232876712328769</v>
      </c>
      <c r="J164" s="29">
        <f ca="1">ROUNDUP(IF(staff[[#This Row],[Tenure]]&gt;2,3%,2%)*staff[[#This Row],[Salary]],0)</f>
        <v>3380</v>
      </c>
      <c r="K164" s="4">
        <f>_xlfn.XLOOKUP(staff[[#This Row],[Rating]],'Rating map table'!A$2:A$6,'Rating map table'!B$2:B$6)</f>
        <v>3</v>
      </c>
    </row>
    <row r="165" spans="1:11" x14ac:dyDescent="0.3">
      <c r="A165" s="4" t="s">
        <v>58</v>
      </c>
      <c r="B165" s="4" t="s">
        <v>15</v>
      </c>
      <c r="C165" s="4" t="s">
        <v>19</v>
      </c>
      <c r="D165" s="4">
        <v>22</v>
      </c>
      <c r="E165" s="10">
        <v>44446</v>
      </c>
      <c r="F165" s="6">
        <v>112780</v>
      </c>
      <c r="G165" s="4" t="s">
        <v>13</v>
      </c>
      <c r="H165" s="4" t="s">
        <v>205</v>
      </c>
      <c r="I165" s="11">
        <f ca="1">(TODAY()-staff[[#This Row],[Date Joined]])/365</f>
        <v>4.86027397260274</v>
      </c>
      <c r="J165" s="29">
        <f ca="1">ROUNDUP(IF(staff[[#This Row],[Tenure]]&gt;2,3%,2%)*staff[[#This Row],[Salary]],0)</f>
        <v>3384</v>
      </c>
      <c r="K165" s="4">
        <f>_xlfn.XLOOKUP(staff[[#This Row],[Rating]],'Rating map table'!A$2:A$6,'Rating map table'!B$2:B$6)</f>
        <v>4</v>
      </c>
    </row>
    <row r="166" spans="1:11" x14ac:dyDescent="0.3">
      <c r="A166" s="4" t="s">
        <v>150</v>
      </c>
      <c r="B166" s="4" t="s">
        <v>15</v>
      </c>
      <c r="C166" s="4" t="s">
        <v>19</v>
      </c>
      <c r="D166" s="4">
        <v>22</v>
      </c>
      <c r="E166" s="10">
        <v>44384</v>
      </c>
      <c r="F166" s="6">
        <v>112780</v>
      </c>
      <c r="G166" s="4" t="s">
        <v>13</v>
      </c>
      <c r="H166" s="4" t="s">
        <v>207</v>
      </c>
      <c r="I166" s="11">
        <f ca="1">(TODAY()-staff[[#This Row],[Date Joined]])/365</f>
        <v>5.0301369863013701</v>
      </c>
      <c r="J166" s="29">
        <f ca="1">ROUNDUP(IF(staff[[#This Row],[Tenure]]&gt;2,3%,2%)*staff[[#This Row],[Salary]],0)</f>
        <v>3384</v>
      </c>
      <c r="K166" s="4">
        <f>_xlfn.XLOOKUP(staff[[#This Row],[Rating]],'Rating map table'!A$2:A$6,'Rating map table'!B$2:B$6)</f>
        <v>4</v>
      </c>
    </row>
    <row r="167" spans="1:11" x14ac:dyDescent="0.3">
      <c r="A167" s="4" t="s">
        <v>98</v>
      </c>
      <c r="B167" s="4" t="s">
        <v>15</v>
      </c>
      <c r="C167" s="4" t="s">
        <v>9</v>
      </c>
      <c r="D167" s="4">
        <v>27</v>
      </c>
      <c r="E167" s="10">
        <v>44609</v>
      </c>
      <c r="F167" s="6">
        <v>113280</v>
      </c>
      <c r="G167" s="4" t="s">
        <v>42</v>
      </c>
      <c r="H167" s="4" t="s">
        <v>205</v>
      </c>
      <c r="I167" s="11">
        <f ca="1">(TODAY()-staff[[#This Row],[Date Joined]])/365</f>
        <v>4.4136986301369863</v>
      </c>
      <c r="J167" s="29">
        <f ca="1">ROUNDUP(IF(staff[[#This Row],[Tenure]]&gt;2,3%,2%)*staff[[#This Row],[Salary]],0)</f>
        <v>3399</v>
      </c>
      <c r="K167" s="4">
        <f>_xlfn.XLOOKUP(staff[[#This Row],[Rating]],'Rating map table'!A$2:A$6,'Rating map table'!B$2:B$6)</f>
        <v>1</v>
      </c>
    </row>
    <row r="168" spans="1:11" x14ac:dyDescent="0.3">
      <c r="A168" s="4" t="s">
        <v>191</v>
      </c>
      <c r="B168" s="4" t="s">
        <v>15</v>
      </c>
      <c r="C168" s="4" t="s">
        <v>9</v>
      </c>
      <c r="D168" s="4">
        <v>27</v>
      </c>
      <c r="E168" s="10">
        <v>44547</v>
      </c>
      <c r="F168" s="6">
        <v>113280</v>
      </c>
      <c r="G168" s="4" t="s">
        <v>42</v>
      </c>
      <c r="H168" s="4" t="s">
        <v>207</v>
      </c>
      <c r="I168" s="11">
        <f ca="1">(TODAY()-staff[[#This Row],[Date Joined]])/365</f>
        <v>4.5835616438356164</v>
      </c>
      <c r="J168" s="29">
        <f ca="1">ROUNDUP(IF(staff[[#This Row],[Tenure]]&gt;2,3%,2%)*staff[[#This Row],[Salary]],0)</f>
        <v>3399</v>
      </c>
      <c r="K168" s="4">
        <f>_xlfn.XLOOKUP(staff[[#This Row],[Rating]],'Rating map table'!A$2:A$6,'Rating map table'!B$2:B$6)</f>
        <v>1</v>
      </c>
    </row>
    <row r="169" spans="1:11" x14ac:dyDescent="0.3">
      <c r="A169" s="4" t="s">
        <v>54</v>
      </c>
      <c r="B169" s="4" t="s">
        <v>8</v>
      </c>
      <c r="C169" s="4" t="s">
        <v>9</v>
      </c>
      <c r="D169" s="4">
        <v>30</v>
      </c>
      <c r="E169" s="10">
        <v>44850</v>
      </c>
      <c r="F169" s="6">
        <v>114180</v>
      </c>
      <c r="G169" s="4" t="s">
        <v>16</v>
      </c>
      <c r="H169" s="4" t="s">
        <v>205</v>
      </c>
      <c r="I169" s="11">
        <f ca="1">(TODAY()-staff[[#This Row],[Date Joined]])/365</f>
        <v>3.7534246575342465</v>
      </c>
      <c r="J169" s="29">
        <f ca="1">ROUNDUP(IF(staff[[#This Row],[Tenure]]&gt;2,3%,2%)*staff[[#This Row],[Salary]],0)</f>
        <v>3426</v>
      </c>
      <c r="K169" s="4">
        <f>_xlfn.XLOOKUP(staff[[#This Row],[Rating]],'Rating map table'!A$2:A$6,'Rating map table'!B$2:B$6)</f>
        <v>3</v>
      </c>
    </row>
    <row r="170" spans="1:11" x14ac:dyDescent="0.3">
      <c r="A170" s="4" t="s">
        <v>147</v>
      </c>
      <c r="B170" s="4" t="s">
        <v>8</v>
      </c>
      <c r="C170" s="4" t="s">
        <v>9</v>
      </c>
      <c r="D170" s="4">
        <v>30</v>
      </c>
      <c r="E170" s="10">
        <v>44789</v>
      </c>
      <c r="F170" s="6">
        <v>114180</v>
      </c>
      <c r="G170" s="4" t="s">
        <v>16</v>
      </c>
      <c r="H170" s="4" t="s">
        <v>207</v>
      </c>
      <c r="I170" s="11">
        <f ca="1">(TODAY()-staff[[#This Row],[Date Joined]])/365</f>
        <v>3.9205479452054797</v>
      </c>
      <c r="J170" s="29">
        <f ca="1">ROUNDUP(IF(staff[[#This Row],[Tenure]]&gt;2,3%,2%)*staff[[#This Row],[Salary]],0)</f>
        <v>3426</v>
      </c>
      <c r="K170" s="4">
        <f>_xlfn.XLOOKUP(staff[[#This Row],[Rating]],'Rating map table'!A$2:A$6,'Rating map table'!B$2:B$6)</f>
        <v>3</v>
      </c>
    </row>
    <row r="171" spans="1:11" x14ac:dyDescent="0.3">
      <c r="A171" s="4" t="s">
        <v>17</v>
      </c>
      <c r="B171" s="4" t="s">
        <v>8</v>
      </c>
      <c r="C171" s="4" t="s">
        <v>12</v>
      </c>
      <c r="D171" s="4">
        <v>43</v>
      </c>
      <c r="E171" s="10">
        <v>45045</v>
      </c>
      <c r="F171" s="6">
        <v>114870</v>
      </c>
      <c r="G171" s="4" t="s">
        <v>16</v>
      </c>
      <c r="H171" s="4" t="s">
        <v>205</v>
      </c>
      <c r="I171" s="11">
        <f ca="1">(TODAY()-staff[[#This Row],[Date Joined]])/365</f>
        <v>3.2191780821917808</v>
      </c>
      <c r="J171" s="29">
        <f ca="1">ROUNDUP(IF(staff[[#This Row],[Tenure]]&gt;2,3%,2%)*staff[[#This Row],[Salary]],0)</f>
        <v>3447</v>
      </c>
      <c r="K171" s="4">
        <f>_xlfn.XLOOKUP(staff[[#This Row],[Rating]],'Rating map table'!A$2:A$6,'Rating map table'!B$2:B$6)</f>
        <v>3</v>
      </c>
    </row>
    <row r="172" spans="1:11" x14ac:dyDescent="0.3">
      <c r="A172" s="4" t="s">
        <v>114</v>
      </c>
      <c r="B172" s="4" t="s">
        <v>8</v>
      </c>
      <c r="C172" s="4" t="s">
        <v>12</v>
      </c>
      <c r="D172" s="4">
        <v>44</v>
      </c>
      <c r="E172" s="10">
        <v>44985</v>
      </c>
      <c r="F172" s="6">
        <v>114870</v>
      </c>
      <c r="G172" s="4" t="s">
        <v>16</v>
      </c>
      <c r="H172" s="4" t="s">
        <v>207</v>
      </c>
      <c r="I172" s="11">
        <f ca="1">(TODAY()-staff[[#This Row],[Date Joined]])/365</f>
        <v>3.3835616438356166</v>
      </c>
      <c r="J172" s="29">
        <f ca="1">ROUNDUP(IF(staff[[#This Row],[Tenure]]&gt;2,3%,2%)*staff[[#This Row],[Salary]],0)</f>
        <v>3447</v>
      </c>
      <c r="K172" s="4">
        <f>_xlfn.XLOOKUP(staff[[#This Row],[Rating]],'Rating map table'!A$2:A$6,'Rating map table'!B$2:B$6)</f>
        <v>3</v>
      </c>
    </row>
    <row r="173" spans="1:11" x14ac:dyDescent="0.3">
      <c r="A173" s="4" t="s">
        <v>83</v>
      </c>
      <c r="B173" s="4" t="s">
        <v>8</v>
      </c>
      <c r="C173" s="4" t="s">
        <v>9</v>
      </c>
      <c r="D173" s="4">
        <v>36</v>
      </c>
      <c r="E173" s="10">
        <v>44085</v>
      </c>
      <c r="F173" s="6">
        <v>114890</v>
      </c>
      <c r="G173" s="4" t="s">
        <v>16</v>
      </c>
      <c r="H173" s="4" t="s">
        <v>205</v>
      </c>
      <c r="I173" s="11">
        <f ca="1">(TODAY()-staff[[#This Row],[Date Joined]])/365</f>
        <v>5.8493150684931505</v>
      </c>
      <c r="J173" s="29">
        <f ca="1">ROUNDUP(IF(staff[[#This Row],[Tenure]]&gt;2,3%,2%)*staff[[#This Row],[Salary]],0)</f>
        <v>3447</v>
      </c>
      <c r="K173" s="4">
        <f>_xlfn.XLOOKUP(staff[[#This Row],[Rating]],'Rating map table'!A$2:A$6,'Rating map table'!B$2:B$6)</f>
        <v>3</v>
      </c>
    </row>
    <row r="174" spans="1:11" x14ac:dyDescent="0.3">
      <c r="A174" s="4" t="s">
        <v>175</v>
      </c>
      <c r="B174" s="4" t="s">
        <v>8</v>
      </c>
      <c r="C174" s="4" t="s">
        <v>9</v>
      </c>
      <c r="D174" s="4">
        <v>36</v>
      </c>
      <c r="E174" s="10">
        <v>44023</v>
      </c>
      <c r="F174" s="6">
        <v>114890</v>
      </c>
      <c r="G174" s="4" t="s">
        <v>16</v>
      </c>
      <c r="H174" s="4" t="s">
        <v>207</v>
      </c>
      <c r="I174" s="11">
        <f ca="1">(TODAY()-staff[[#This Row],[Date Joined]])/365</f>
        <v>6.0191780821917806</v>
      </c>
      <c r="J174" s="29">
        <f ca="1">ROUNDUP(IF(staff[[#This Row],[Tenure]]&gt;2,3%,2%)*staff[[#This Row],[Salary]],0)</f>
        <v>3447</v>
      </c>
      <c r="K174" s="4">
        <f>_xlfn.XLOOKUP(staff[[#This Row],[Rating]],'Rating map table'!A$2:A$6,'Rating map table'!B$2:B$6)</f>
        <v>3</v>
      </c>
    </row>
    <row r="175" spans="1:11" x14ac:dyDescent="0.3">
      <c r="A175" s="4" t="s">
        <v>49</v>
      </c>
      <c r="B175" s="4" t="s">
        <v>206</v>
      </c>
      <c r="C175" s="4" t="s">
        <v>21</v>
      </c>
      <c r="D175" s="4">
        <v>37</v>
      </c>
      <c r="E175" s="10">
        <v>44146</v>
      </c>
      <c r="F175" s="6">
        <v>115440</v>
      </c>
      <c r="G175" s="4" t="s">
        <v>24</v>
      </c>
      <c r="H175" s="4" t="s">
        <v>205</v>
      </c>
      <c r="I175" s="11">
        <f ca="1">(TODAY()-staff[[#This Row],[Date Joined]])/365</f>
        <v>5.6821917808219178</v>
      </c>
      <c r="J175" s="29">
        <f ca="1">ROUNDUP(IF(staff[[#This Row],[Tenure]]&gt;2,3%,2%)*staff[[#This Row],[Salary]],0)</f>
        <v>3464</v>
      </c>
      <c r="K175" s="4">
        <f>_xlfn.XLOOKUP(staff[[#This Row],[Rating]],'Rating map table'!A$2:A$6,'Rating map table'!B$2:B$6)</f>
        <v>2</v>
      </c>
    </row>
    <row r="176" spans="1:11" x14ac:dyDescent="0.3">
      <c r="A176" s="4" t="s">
        <v>142</v>
      </c>
      <c r="B176" s="4" t="s">
        <v>206</v>
      </c>
      <c r="C176" s="4" t="s">
        <v>21</v>
      </c>
      <c r="D176" s="4">
        <v>37</v>
      </c>
      <c r="E176" s="10">
        <v>44085</v>
      </c>
      <c r="F176" s="6">
        <v>115440</v>
      </c>
      <c r="G176" s="4" t="s">
        <v>24</v>
      </c>
      <c r="H176" s="4" t="s">
        <v>207</v>
      </c>
      <c r="I176" s="11">
        <f ca="1">(TODAY()-staff[[#This Row],[Date Joined]])/365</f>
        <v>5.8493150684931505</v>
      </c>
      <c r="J176" s="29">
        <f ca="1">ROUNDUP(IF(staff[[#This Row],[Tenure]]&gt;2,3%,2%)*staff[[#This Row],[Salary]],0)</f>
        <v>3464</v>
      </c>
      <c r="K176" s="4">
        <f>_xlfn.XLOOKUP(staff[[#This Row],[Rating]],'Rating map table'!A$2:A$6,'Rating map table'!B$2:B$6)</f>
        <v>2</v>
      </c>
    </row>
    <row r="177" spans="1:11" x14ac:dyDescent="0.3">
      <c r="A177" s="4" t="s">
        <v>40</v>
      </c>
      <c r="B177" s="4" t="s">
        <v>15</v>
      </c>
      <c r="C177" s="4" t="s">
        <v>9</v>
      </c>
      <c r="D177" s="4">
        <v>33</v>
      </c>
      <c r="E177" s="10">
        <v>44164</v>
      </c>
      <c r="F177" s="6">
        <v>115920</v>
      </c>
      <c r="G177" s="4" t="s">
        <v>16</v>
      </c>
      <c r="H177" s="4" t="s">
        <v>205</v>
      </c>
      <c r="I177" s="11">
        <f ca="1">(TODAY()-staff[[#This Row],[Date Joined]])/365</f>
        <v>5.6328767123287671</v>
      </c>
      <c r="J177" s="29">
        <f ca="1">ROUNDUP(IF(staff[[#This Row],[Tenure]]&gt;2,3%,2%)*staff[[#This Row],[Salary]],0)</f>
        <v>3478</v>
      </c>
      <c r="K177" s="4">
        <f>_xlfn.XLOOKUP(staff[[#This Row],[Rating]],'Rating map table'!A$2:A$6,'Rating map table'!B$2:B$6)</f>
        <v>3</v>
      </c>
    </row>
    <row r="178" spans="1:11" x14ac:dyDescent="0.3">
      <c r="A178" s="4" t="s">
        <v>134</v>
      </c>
      <c r="B178" s="4" t="s">
        <v>15</v>
      </c>
      <c r="C178" s="4" t="s">
        <v>9</v>
      </c>
      <c r="D178" s="4">
        <v>33</v>
      </c>
      <c r="E178" s="10">
        <v>44103</v>
      </c>
      <c r="F178" s="6">
        <v>115920</v>
      </c>
      <c r="G178" s="4" t="s">
        <v>16</v>
      </c>
      <c r="H178" s="4" t="s">
        <v>207</v>
      </c>
      <c r="I178" s="11">
        <f ca="1">(TODAY()-staff[[#This Row],[Date Joined]])/365</f>
        <v>5.8</v>
      </c>
      <c r="J178" s="29">
        <f ca="1">ROUNDUP(IF(staff[[#This Row],[Tenure]]&gt;2,3%,2%)*staff[[#This Row],[Salary]],0)</f>
        <v>3478</v>
      </c>
      <c r="K178" s="4">
        <f>_xlfn.XLOOKUP(staff[[#This Row],[Rating]],'Rating map table'!A$2:A$6,'Rating map table'!B$2:B$6)</f>
        <v>3</v>
      </c>
    </row>
    <row r="179" spans="1:11" x14ac:dyDescent="0.3">
      <c r="A179" s="4" t="s">
        <v>55</v>
      </c>
      <c r="B179" s="4" t="s">
        <v>8</v>
      </c>
      <c r="C179" s="4" t="s">
        <v>56</v>
      </c>
      <c r="D179" s="4">
        <v>37</v>
      </c>
      <c r="E179" s="10">
        <v>44451</v>
      </c>
      <c r="F179" s="6">
        <v>118100</v>
      </c>
      <c r="G179" s="4" t="s">
        <v>16</v>
      </c>
      <c r="H179" s="4" t="s">
        <v>205</v>
      </c>
      <c r="I179" s="11">
        <f ca="1">(TODAY()-staff[[#This Row],[Date Joined]])/365</f>
        <v>4.8465753424657532</v>
      </c>
      <c r="J179" s="29">
        <f ca="1">ROUNDUP(IF(staff[[#This Row],[Tenure]]&gt;2,3%,2%)*staff[[#This Row],[Salary]],0)</f>
        <v>3543</v>
      </c>
      <c r="K179" s="4">
        <f>_xlfn.XLOOKUP(staff[[#This Row],[Rating]],'Rating map table'!A$2:A$6,'Rating map table'!B$2:B$6)</f>
        <v>3</v>
      </c>
    </row>
    <row r="180" spans="1:11" x14ac:dyDescent="0.3">
      <c r="A180" s="4" t="s">
        <v>148</v>
      </c>
      <c r="B180" s="4" t="s">
        <v>8</v>
      </c>
      <c r="C180" s="4" t="s">
        <v>56</v>
      </c>
      <c r="D180" s="4">
        <v>37</v>
      </c>
      <c r="E180" s="10">
        <v>44389</v>
      </c>
      <c r="F180" s="6">
        <v>118100</v>
      </c>
      <c r="G180" s="4" t="s">
        <v>16</v>
      </c>
      <c r="H180" s="4" t="s">
        <v>207</v>
      </c>
      <c r="I180" s="11">
        <f ca="1">(TODAY()-staff[[#This Row],[Date Joined]])/365</f>
        <v>5.0164383561643833</v>
      </c>
      <c r="J180" s="29">
        <f ca="1">ROUNDUP(IF(staff[[#This Row],[Tenure]]&gt;2,3%,2%)*staff[[#This Row],[Salary]],0)</f>
        <v>3543</v>
      </c>
      <c r="K180" s="4">
        <f>_xlfn.XLOOKUP(staff[[#This Row],[Rating]],'Rating map table'!A$2:A$6,'Rating map table'!B$2:B$6)</f>
        <v>3</v>
      </c>
    </row>
    <row r="181" spans="1:11" x14ac:dyDescent="0.3">
      <c r="A181" s="4" t="s">
        <v>106</v>
      </c>
      <c r="B181" s="4" t="s">
        <v>15</v>
      </c>
      <c r="C181" s="4" t="s">
        <v>12</v>
      </c>
      <c r="D181" s="4">
        <v>36</v>
      </c>
      <c r="E181" s="10">
        <v>44019</v>
      </c>
      <c r="F181" s="6">
        <v>118840</v>
      </c>
      <c r="G181" s="4" t="s">
        <v>16</v>
      </c>
      <c r="H181" s="4" t="s">
        <v>205</v>
      </c>
      <c r="I181" s="11">
        <f ca="1">(TODAY()-staff[[#This Row],[Date Joined]])/365</f>
        <v>6.0301369863013701</v>
      </c>
      <c r="J181" s="29">
        <f ca="1">ROUNDUP(IF(staff[[#This Row],[Tenure]]&gt;2,3%,2%)*staff[[#This Row],[Salary]],0)</f>
        <v>3566</v>
      </c>
      <c r="K181" s="4">
        <f>_xlfn.XLOOKUP(staff[[#This Row],[Rating]],'Rating map table'!A$2:A$6,'Rating map table'!B$2:B$6)</f>
        <v>3</v>
      </c>
    </row>
    <row r="182" spans="1:11" x14ac:dyDescent="0.3">
      <c r="A182" s="4" t="s">
        <v>199</v>
      </c>
      <c r="B182" s="4" t="s">
        <v>15</v>
      </c>
      <c r="C182" s="4" t="s">
        <v>12</v>
      </c>
      <c r="D182" s="4">
        <v>36</v>
      </c>
      <c r="E182" s="10">
        <v>43958</v>
      </c>
      <c r="F182" s="6">
        <v>118840</v>
      </c>
      <c r="G182" s="4" t="s">
        <v>16</v>
      </c>
      <c r="H182" s="4" t="s">
        <v>207</v>
      </c>
      <c r="I182" s="11">
        <f ca="1">(TODAY()-staff[[#This Row],[Date Joined]])/365</f>
        <v>6.1972602739726028</v>
      </c>
      <c r="J182" s="29">
        <f ca="1">ROUNDUP(IF(staff[[#This Row],[Tenure]]&gt;2,3%,2%)*staff[[#This Row],[Salary]],0)</f>
        <v>3566</v>
      </c>
      <c r="K182" s="4">
        <f>_xlfn.XLOOKUP(staff[[#This Row],[Rating]],'Rating map table'!A$2:A$6,'Rating map table'!B$2:B$6)</f>
        <v>3</v>
      </c>
    </row>
    <row r="183" spans="1:11" x14ac:dyDescent="0.3">
      <c r="A183" s="4" t="s">
        <v>60</v>
      </c>
      <c r="B183" s="4" t="s">
        <v>8</v>
      </c>
      <c r="C183" s="4" t="s">
        <v>56</v>
      </c>
      <c r="D183" s="4">
        <v>27</v>
      </c>
      <c r="E183" s="10">
        <v>44122</v>
      </c>
      <c r="F183" s="6">
        <v>119110</v>
      </c>
      <c r="G183" s="4" t="s">
        <v>16</v>
      </c>
      <c r="H183" s="4" t="s">
        <v>205</v>
      </c>
      <c r="I183" s="11">
        <f ca="1">(TODAY()-staff[[#This Row],[Date Joined]])/365</f>
        <v>5.7479452054794518</v>
      </c>
      <c r="J183" s="29">
        <f ca="1">ROUNDUP(IF(staff[[#This Row],[Tenure]]&gt;2,3%,2%)*staff[[#This Row],[Salary]],0)</f>
        <v>3574</v>
      </c>
      <c r="K183" s="4">
        <f>_xlfn.XLOOKUP(staff[[#This Row],[Rating]],'Rating map table'!A$2:A$6,'Rating map table'!B$2:B$6)</f>
        <v>3</v>
      </c>
    </row>
    <row r="184" spans="1:11" x14ac:dyDescent="0.3">
      <c r="A184" s="4" t="s">
        <v>152</v>
      </c>
      <c r="B184" s="4" t="s">
        <v>8</v>
      </c>
      <c r="C184" s="4" t="s">
        <v>56</v>
      </c>
      <c r="D184" s="4">
        <v>27</v>
      </c>
      <c r="E184" s="10">
        <v>44061</v>
      </c>
      <c r="F184" s="6">
        <v>119110</v>
      </c>
      <c r="G184" s="4" t="s">
        <v>16</v>
      </c>
      <c r="H184" s="4" t="s">
        <v>207</v>
      </c>
      <c r="I184" s="11">
        <f ca="1">(TODAY()-staff[[#This Row],[Date Joined]])/365</f>
        <v>5.9150684931506845</v>
      </c>
      <c r="J184" s="29">
        <f ca="1">ROUNDUP(IF(staff[[#This Row],[Tenure]]&gt;2,3%,2%)*staff[[#This Row],[Salary]],0)</f>
        <v>3574</v>
      </c>
      <c r="K184" s="4">
        <f>_xlfn.XLOOKUP(staff[[#This Row],[Rating]],'Rating map table'!A$2:A$6,'Rating map table'!B$2:B$6)</f>
        <v>3</v>
      </c>
    </row>
  </sheetData>
  <conditionalFormatting sqref="F1:F184">
    <cfRule type="colorScale" priority="1">
      <colorScale>
        <cfvo type="min"/>
        <cfvo type="percentile" val="50"/>
        <cfvo type="max"/>
        <color rgb="FF5A8AC6"/>
        <color rgb="FFFCFCFF"/>
        <color rgb="FFF8696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167B8-6206-4D53-BBD2-CA113A1523D1}">
  <dimension ref="B4:C13"/>
  <sheetViews>
    <sheetView workbookViewId="0">
      <selection activeCell="C5" sqref="C5"/>
    </sheetView>
  </sheetViews>
  <sheetFormatPr defaultRowHeight="14.4" x14ac:dyDescent="0.3"/>
  <cols>
    <col min="2" max="2" width="12.109375" bestFit="1" customWidth="1"/>
    <col min="3" max="3" width="17.6640625" bestFit="1" customWidth="1"/>
  </cols>
  <sheetData>
    <row r="4" spans="2:3" x14ac:dyDescent="0.3">
      <c r="C4" s="26" t="s">
        <v>256</v>
      </c>
    </row>
    <row r="5" spans="2:3" x14ac:dyDescent="0.3">
      <c r="B5" s="17"/>
      <c r="C5" s="17" t="s">
        <v>36</v>
      </c>
    </row>
    <row r="6" spans="2:3" x14ac:dyDescent="0.3">
      <c r="B6" s="17" t="s">
        <v>1</v>
      </c>
      <c r="C6" s="17" t="str" cm="1">
        <f t="array" aca="1" ref="C6:C13" ca="1">TRANSPOSE(_xlfn.XLOOKUP(C5,staff[Name],staff[[Gender]:[Tenure]]))</f>
        <v>Female</v>
      </c>
    </row>
    <row r="7" spans="2:3" x14ac:dyDescent="0.3">
      <c r="B7" s="17" t="s">
        <v>2</v>
      </c>
      <c r="C7" s="17" t="str">
        <f ca="1"/>
        <v>Finance</v>
      </c>
    </row>
    <row r="8" spans="2:3" x14ac:dyDescent="0.3">
      <c r="B8" s="17" t="s">
        <v>3</v>
      </c>
      <c r="C8" s="17">
        <f ca="1"/>
        <v>34</v>
      </c>
    </row>
    <row r="9" spans="2:3" x14ac:dyDescent="0.3">
      <c r="B9" s="17" t="s">
        <v>4</v>
      </c>
      <c r="C9" s="18">
        <f ca="1"/>
        <v>44653</v>
      </c>
    </row>
    <row r="10" spans="2:3" x14ac:dyDescent="0.3">
      <c r="B10" s="17" t="s">
        <v>5</v>
      </c>
      <c r="C10" s="19">
        <f ca="1"/>
        <v>58940</v>
      </c>
    </row>
    <row r="11" spans="2:3" x14ac:dyDescent="0.3">
      <c r="B11" s="17" t="s">
        <v>6</v>
      </c>
      <c r="C11" s="17" t="str">
        <f ca="1"/>
        <v>Average</v>
      </c>
    </row>
    <row r="12" spans="2:3" x14ac:dyDescent="0.3">
      <c r="B12" s="17" t="s">
        <v>204</v>
      </c>
      <c r="C12" s="17" t="str">
        <f ca="1"/>
        <v>nz</v>
      </c>
    </row>
    <row r="13" spans="2:3" x14ac:dyDescent="0.3">
      <c r="B13" s="17" t="s">
        <v>208</v>
      </c>
      <c r="C13" s="20">
        <f ca="1"/>
        <v>4.2931506849315069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E0C8C-E3D8-4189-AA5A-F527F34F961B}">
  <dimension ref="C1:P4"/>
  <sheetViews>
    <sheetView showGridLines="0" zoomScale="85" zoomScaleNormal="85" workbookViewId="0">
      <selection activeCell="V13" sqref="V13"/>
    </sheetView>
  </sheetViews>
  <sheetFormatPr defaultRowHeight="14.4" x14ac:dyDescent="0.3"/>
  <cols>
    <col min="1" max="2" width="8.88671875" style="34"/>
    <col min="3" max="3" width="13" style="34" customWidth="1"/>
    <col min="4" max="4" width="1.77734375" style="34" customWidth="1"/>
    <col min="5" max="5" width="24.21875" style="34" bestFit="1" customWidth="1"/>
    <col min="6" max="6" width="1.77734375" style="34" customWidth="1"/>
    <col min="7" max="7" width="27.88671875" style="34" bestFit="1" customWidth="1"/>
    <col min="8" max="10" width="1.77734375" style="34" customWidth="1"/>
    <col min="11" max="11" width="18.33203125" style="34" customWidth="1"/>
    <col min="12" max="12" width="1.77734375" style="34" customWidth="1"/>
    <col min="13" max="13" width="24.21875" style="34" bestFit="1" customWidth="1"/>
    <col min="14" max="14" width="1.77734375" style="34" customWidth="1"/>
    <col min="15" max="15" width="27.88671875" style="34" bestFit="1" customWidth="1"/>
    <col min="16" max="16384" width="8.88671875" style="34"/>
  </cols>
  <sheetData>
    <row r="1" spans="3:16" ht="66" customHeight="1" x14ac:dyDescent="0.8">
      <c r="C1" s="54" t="s">
        <v>252</v>
      </c>
      <c r="D1" s="55"/>
      <c r="E1" s="55"/>
      <c r="F1" s="55"/>
      <c r="G1" s="55"/>
      <c r="K1" s="56" t="s">
        <v>253</v>
      </c>
      <c r="L1" s="55"/>
      <c r="M1" s="55"/>
      <c r="N1" s="55"/>
      <c r="O1" s="55"/>
    </row>
    <row r="2" spans="3:16" ht="82.2" customHeight="1" x14ac:dyDescent="0.3">
      <c r="C2" s="44">
        <f ca="1">COUNTIF(staff[],"nz")</f>
        <v>91</v>
      </c>
      <c r="D2" s="35"/>
      <c r="E2" s="39">
        <f ca="1">COUNTIFS(staff[Country],"nz",staff[Gender],"female")/C2</f>
        <v>0.47252747252747251</v>
      </c>
      <c r="F2" s="35"/>
      <c r="G2" s="43">
        <f>AVERAGEIF(staff[Country],"nz",staff[Salary])</f>
        <v>76978.791208791212</v>
      </c>
      <c r="H2" s="35"/>
      <c r="I2" s="35"/>
      <c r="J2" s="35"/>
      <c r="K2" s="40">
        <f ca="1">COUNTIF(staff[],"india")</f>
        <v>92</v>
      </c>
      <c r="L2" s="35"/>
      <c r="M2" s="41">
        <f ca="1">COUNTIFS(staff[Country],"india",staff[Gender],"female")/K2</f>
        <v>0.46739130434782611</v>
      </c>
      <c r="N2" s="35"/>
      <c r="O2" s="42">
        <f>AVERAGEIF(staff[Country],"india",staff[Salary])</f>
        <v>77366.521739130432</v>
      </c>
      <c r="P2" s="35"/>
    </row>
    <row r="3" spans="3:16" x14ac:dyDescent="0.3">
      <c r="C3" s="35"/>
      <c r="D3" s="35"/>
      <c r="E3" s="35"/>
      <c r="F3" s="35"/>
      <c r="G3" s="35"/>
      <c r="H3" s="35"/>
      <c r="I3" s="35"/>
      <c r="J3" s="35"/>
      <c r="K3" s="35"/>
      <c r="L3" s="35"/>
      <c r="M3" s="35"/>
      <c r="N3" s="35"/>
      <c r="O3" s="35"/>
      <c r="P3" s="35"/>
    </row>
    <row r="4" spans="3:16" ht="28.8" x14ac:dyDescent="0.55000000000000004">
      <c r="C4" s="57" t="s">
        <v>254</v>
      </c>
      <c r="D4" s="57"/>
      <c r="E4" s="57"/>
      <c r="F4" s="57"/>
      <c r="G4" s="57"/>
      <c r="H4" s="57"/>
      <c r="I4" s="57"/>
      <c r="J4" s="57"/>
      <c r="K4" s="57"/>
      <c r="L4" s="57"/>
      <c r="M4" s="57"/>
      <c r="N4" s="57"/>
      <c r="O4" s="57"/>
    </row>
  </sheetData>
  <mergeCells count="3">
    <mergeCell ref="C1:G1"/>
    <mergeCell ref="K1:O1"/>
    <mergeCell ref="C4:O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335D-062C-4D22-A14D-F58939C8D267}">
  <dimension ref="B2:J16"/>
  <sheetViews>
    <sheetView showGridLines="0" workbookViewId="0">
      <selection activeCell="L24" sqref="L24"/>
    </sheetView>
  </sheetViews>
  <sheetFormatPr defaultRowHeight="14.4" x14ac:dyDescent="0.3"/>
  <cols>
    <col min="1" max="1" width="8.88671875" style="4"/>
    <col min="2" max="2" width="15.6640625" style="4" bestFit="1" customWidth="1"/>
    <col min="3" max="3" width="15.5546875" style="4" bestFit="1" customWidth="1"/>
    <col min="4" max="5" width="6" style="4" bestFit="1" customWidth="1"/>
    <col min="6" max="6" width="9.88671875" style="4" bestFit="1" customWidth="1"/>
    <col min="7" max="7" width="7" style="4" bestFit="1" customWidth="1"/>
    <col min="8" max="8" width="6" style="4" bestFit="1" customWidth="1"/>
    <col min="9" max="9" width="11.5546875" style="4" bestFit="1" customWidth="1"/>
    <col min="10" max="10" width="13.88671875" style="4" bestFit="1" customWidth="1"/>
    <col min="11" max="11" width="7.5546875" style="4" bestFit="1" customWidth="1"/>
    <col min="12" max="12" width="10.77734375" style="4" bestFit="1" customWidth="1"/>
    <col min="13" max="16" width="14.88671875" style="4" bestFit="1" customWidth="1"/>
    <col min="17" max="17" width="16.21875" style="4" bestFit="1" customWidth="1"/>
    <col min="18" max="18" width="17.33203125" style="4" bestFit="1" customWidth="1"/>
    <col min="19" max="19" width="18.6640625" style="4" bestFit="1" customWidth="1"/>
    <col min="20" max="20" width="19.6640625" style="4" bestFit="1" customWidth="1"/>
    <col min="21" max="16384" width="8.88671875" style="4"/>
  </cols>
  <sheetData>
    <row r="2" spans="2:10" x14ac:dyDescent="0.3">
      <c r="B2" s="36" t="s">
        <v>204</v>
      </c>
      <c r="C2" s="4" t="s" vm="2">
        <v>207</v>
      </c>
      <c r="I2" s="36" t="s">
        <v>204</v>
      </c>
      <c r="J2" s="4" t="s" vm="1">
        <v>205</v>
      </c>
    </row>
    <row r="4" spans="2:10" x14ac:dyDescent="0.3">
      <c r="B4" s="36" t="s">
        <v>224</v>
      </c>
      <c r="C4" s="4" t="s">
        <v>222</v>
      </c>
      <c r="I4" s="36" t="s">
        <v>224</v>
      </c>
      <c r="J4" s="4" t="s">
        <v>222</v>
      </c>
    </row>
    <row r="5" spans="2:10" x14ac:dyDescent="0.3">
      <c r="B5" s="4" t="s">
        <v>9</v>
      </c>
      <c r="C5" s="4">
        <v>28</v>
      </c>
      <c r="I5" s="4" t="s">
        <v>12</v>
      </c>
      <c r="J5" s="4">
        <v>27</v>
      </c>
    </row>
    <row r="6" spans="2:10" x14ac:dyDescent="0.3">
      <c r="B6" s="4" t="s">
        <v>12</v>
      </c>
      <c r="C6" s="4">
        <v>27</v>
      </c>
      <c r="I6" s="4" t="s">
        <v>9</v>
      </c>
      <c r="J6" s="4">
        <v>27</v>
      </c>
    </row>
    <row r="7" spans="2:10" x14ac:dyDescent="0.3">
      <c r="B7" s="4" t="s">
        <v>21</v>
      </c>
      <c r="C7" s="4">
        <v>19</v>
      </c>
      <c r="I7" s="4" t="s">
        <v>21</v>
      </c>
      <c r="J7" s="4">
        <v>19</v>
      </c>
    </row>
    <row r="8" spans="2:10" x14ac:dyDescent="0.3">
      <c r="B8" s="4" t="s">
        <v>19</v>
      </c>
      <c r="C8" s="4">
        <v>14</v>
      </c>
      <c r="I8" s="4" t="s">
        <v>19</v>
      </c>
      <c r="J8" s="4">
        <v>14</v>
      </c>
    </row>
    <row r="9" spans="2:10" x14ac:dyDescent="0.3">
      <c r="B9" s="4" t="s">
        <v>56</v>
      </c>
      <c r="C9" s="4">
        <v>4</v>
      </c>
      <c r="I9" s="4" t="s">
        <v>56</v>
      </c>
      <c r="J9" s="4">
        <v>4</v>
      </c>
    </row>
    <row r="11" spans="2:10" x14ac:dyDescent="0.3">
      <c r="C11" s="36" t="s">
        <v>220</v>
      </c>
    </row>
    <row r="12" spans="2:10" x14ac:dyDescent="0.3">
      <c r="C12" s="4" t="s">
        <v>207</v>
      </c>
      <c r="F12" s="4" t="s">
        <v>257</v>
      </c>
      <c r="G12" s="4" t="s">
        <v>205</v>
      </c>
      <c r="J12" s="4" t="s">
        <v>258</v>
      </c>
    </row>
    <row r="13" spans="2:10" x14ac:dyDescent="0.3">
      <c r="B13" s="36" t="s">
        <v>225</v>
      </c>
      <c r="C13" s="4" t="s">
        <v>8</v>
      </c>
      <c r="D13" s="4" t="s">
        <v>15</v>
      </c>
      <c r="E13" s="4" t="s">
        <v>206</v>
      </c>
      <c r="G13" s="4" t="s">
        <v>8</v>
      </c>
      <c r="H13" s="4" t="s">
        <v>15</v>
      </c>
      <c r="I13" s="4" t="s">
        <v>206</v>
      </c>
    </row>
    <row r="14" spans="2:10" x14ac:dyDescent="0.3">
      <c r="B14" s="4" t="s">
        <v>260</v>
      </c>
      <c r="C14" s="4">
        <v>43</v>
      </c>
      <c r="D14" s="4">
        <v>45</v>
      </c>
      <c r="E14" s="4">
        <v>4</v>
      </c>
      <c r="F14" s="4">
        <v>92</v>
      </c>
      <c r="G14" s="4">
        <v>43</v>
      </c>
      <c r="H14" s="4">
        <v>44</v>
      </c>
      <c r="I14" s="4">
        <v>4</v>
      </c>
      <c r="J14" s="4">
        <v>91</v>
      </c>
    </row>
    <row r="15" spans="2:10" x14ac:dyDescent="0.3">
      <c r="B15" s="4" t="s">
        <v>259</v>
      </c>
      <c r="C15" s="45">
        <v>0.46739130434782611</v>
      </c>
      <c r="D15" s="45">
        <v>0.4891304347826087</v>
      </c>
      <c r="E15" s="45">
        <v>4.3478260869565216E-2</v>
      </c>
      <c r="F15" s="45">
        <v>0.50273224043715847</v>
      </c>
      <c r="G15" s="45">
        <v>0.47252747252747251</v>
      </c>
      <c r="H15" s="45">
        <v>0.48351648351648352</v>
      </c>
      <c r="I15" s="45">
        <v>4.3956043956043959E-2</v>
      </c>
      <c r="J15" s="45">
        <v>0.49726775956284153</v>
      </c>
    </row>
    <row r="16" spans="2:10" x14ac:dyDescent="0.3">
      <c r="B16" s="4" t="s">
        <v>230</v>
      </c>
      <c r="C16" s="38">
        <v>78284.186046511633</v>
      </c>
      <c r="D16" s="38">
        <v>75334.444444444438</v>
      </c>
      <c r="E16" s="38">
        <v>90362.5</v>
      </c>
      <c r="F16" s="38">
        <v>77366.521739130432</v>
      </c>
      <c r="G16" s="38">
        <v>78284.186046511633</v>
      </c>
      <c r="H16" s="38">
        <v>74564.318181818177</v>
      </c>
      <c r="I16" s="38">
        <v>89505</v>
      </c>
      <c r="J16" s="38">
        <v>76978.791208791212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9C13-8507-4AEB-9897-1AE58A6E985A}">
  <dimension ref="C5:X43"/>
  <sheetViews>
    <sheetView topLeftCell="A19" zoomScaleNormal="100" workbookViewId="0">
      <selection activeCell="S18" sqref="S18"/>
    </sheetView>
  </sheetViews>
  <sheetFormatPr defaultRowHeight="14.4" x14ac:dyDescent="0.3"/>
  <cols>
    <col min="1" max="2" width="8.88671875" style="4"/>
    <col min="3" max="3" width="14.77734375" style="4" bestFit="1" customWidth="1"/>
    <col min="4" max="4" width="24.109375" style="4" bestFit="1" customWidth="1"/>
    <col min="5" max="5" width="12.6640625" style="4" bestFit="1" customWidth="1"/>
    <col min="6" max="21" width="8.88671875" style="4"/>
    <col min="22" max="22" width="10.77734375" style="4" bestFit="1" customWidth="1"/>
    <col min="23" max="23" width="9.88671875" style="4" bestFit="1" customWidth="1"/>
    <col min="24" max="24" width="12.109375" style="4" bestFit="1" customWidth="1"/>
    <col min="25" max="16384" width="8.88671875" style="4"/>
  </cols>
  <sheetData>
    <row r="5" spans="3:24" x14ac:dyDescent="0.3">
      <c r="V5" s="4" t="s">
        <v>251</v>
      </c>
      <c r="W5" s="4" t="s">
        <v>250</v>
      </c>
      <c r="X5" s="4" t="s">
        <v>249</v>
      </c>
    </row>
    <row r="6" spans="3:24" x14ac:dyDescent="0.3">
      <c r="C6" s="36" t="s">
        <v>224</v>
      </c>
      <c r="D6" s="4" t="s">
        <v>248</v>
      </c>
      <c r="E6" s="4" t="s">
        <v>249</v>
      </c>
      <c r="U6" s="4" cm="1">
        <f t="array" ref="U6:U41">_xlfn.SEQUENCE(36)</f>
        <v>1</v>
      </c>
      <c r="V6" s="37" cm="1">
        <f t="array" ref="V6:V41">EDATE(DATE(2020,4,1),_xlfn.ANCHORARRAY(U6)+0)</f>
        <v>43952</v>
      </c>
      <c r="W6" s="4">
        <f>COUNTIFS(staff[Date Joined],"&gt;="&amp;V6,staff[Date Joined],"&lt;="&amp;EOMONTH(V6,0))</f>
        <v>3</v>
      </c>
      <c r="X6" s="4">
        <f xml:space="preserve"> SUM($W$6:W6)</f>
        <v>3</v>
      </c>
    </row>
    <row r="7" spans="3:24" x14ac:dyDescent="0.3">
      <c r="C7" s="4" t="s">
        <v>232</v>
      </c>
      <c r="U7" s="4">
        <v>2</v>
      </c>
      <c r="V7" s="37">
        <v>43983</v>
      </c>
      <c r="W7" s="4">
        <f>COUNTIFS(staff[Date Joined],"&gt;="&amp;V7,staff[Date Joined],"&lt;="&amp;EOMONTH(V7,0))</f>
        <v>1</v>
      </c>
      <c r="X7" s="4">
        <f xml:space="preserve"> SUM($W$6:W7)</f>
        <v>4</v>
      </c>
    </row>
    <row r="8" spans="3:24" x14ac:dyDescent="0.3">
      <c r="C8" s="4" t="s">
        <v>233</v>
      </c>
      <c r="D8" s="4">
        <v>3</v>
      </c>
      <c r="E8" s="4">
        <v>3</v>
      </c>
      <c r="U8" s="4">
        <v>3</v>
      </c>
      <c r="V8" s="37">
        <v>44013</v>
      </c>
      <c r="W8" s="4">
        <f>COUNTIFS(staff[Date Joined],"&gt;="&amp;V8,staff[Date Joined],"&lt;="&amp;EOMONTH(V8,0))</f>
        <v>5</v>
      </c>
      <c r="X8" s="4">
        <f xml:space="preserve"> SUM($W$6:W8)</f>
        <v>9</v>
      </c>
    </row>
    <row r="9" spans="3:24" x14ac:dyDescent="0.3">
      <c r="C9" s="4" t="s">
        <v>234</v>
      </c>
      <c r="D9" s="4">
        <v>1</v>
      </c>
      <c r="E9" s="4">
        <v>4</v>
      </c>
      <c r="U9" s="4">
        <v>4</v>
      </c>
      <c r="V9" s="37">
        <v>44044</v>
      </c>
      <c r="W9" s="4">
        <f>COUNTIFS(staff[Date Joined],"&gt;="&amp;V9,staff[Date Joined],"&lt;="&amp;EOMONTH(V9,0))</f>
        <v>3</v>
      </c>
      <c r="X9" s="4">
        <f xml:space="preserve"> SUM($W$6:W9)</f>
        <v>12</v>
      </c>
    </row>
    <row r="10" spans="3:24" x14ac:dyDescent="0.3">
      <c r="C10" s="4" t="s">
        <v>235</v>
      </c>
      <c r="D10" s="4">
        <v>5</v>
      </c>
      <c r="E10" s="4">
        <v>9</v>
      </c>
      <c r="U10" s="4">
        <v>5</v>
      </c>
      <c r="V10" s="37">
        <v>44075</v>
      </c>
      <c r="W10" s="4">
        <f>COUNTIFS(staff[Date Joined],"&gt;="&amp;V10,staff[Date Joined],"&lt;="&amp;EOMONTH(V10,0))</f>
        <v>6</v>
      </c>
      <c r="X10" s="4">
        <f xml:space="preserve"> SUM($W$6:W10)</f>
        <v>18</v>
      </c>
    </row>
    <row r="11" spans="3:24" x14ac:dyDescent="0.3">
      <c r="C11" s="4" t="s">
        <v>236</v>
      </c>
      <c r="D11" s="4">
        <v>3</v>
      </c>
      <c r="E11" s="4">
        <v>12</v>
      </c>
      <c r="U11" s="4">
        <v>6</v>
      </c>
      <c r="V11" s="37">
        <v>44105</v>
      </c>
      <c r="W11" s="4">
        <f>COUNTIFS(staff[Date Joined],"&gt;="&amp;V11,staff[Date Joined],"&lt;="&amp;EOMONTH(V11,0))</f>
        <v>6</v>
      </c>
      <c r="X11" s="4">
        <f xml:space="preserve"> SUM($W$6:W11)</f>
        <v>24</v>
      </c>
    </row>
    <row r="12" spans="3:24" x14ac:dyDescent="0.3">
      <c r="C12" s="4" t="s">
        <v>237</v>
      </c>
      <c r="D12" s="4">
        <v>6</v>
      </c>
      <c r="E12" s="4">
        <v>18</v>
      </c>
      <c r="U12" s="4">
        <v>7</v>
      </c>
      <c r="V12" s="37">
        <v>44136</v>
      </c>
      <c r="W12" s="4">
        <f>COUNTIFS(staff[Date Joined],"&gt;="&amp;V12,staff[Date Joined],"&lt;="&amp;EOMONTH(V12,0))</f>
        <v>6</v>
      </c>
      <c r="X12" s="4">
        <f xml:space="preserve"> SUM($W$6:W12)</f>
        <v>30</v>
      </c>
    </row>
    <row r="13" spans="3:24" x14ac:dyDescent="0.3">
      <c r="C13" s="4" t="s">
        <v>238</v>
      </c>
      <c r="D13" s="4">
        <v>6</v>
      </c>
      <c r="E13" s="4">
        <v>24</v>
      </c>
      <c r="U13" s="4">
        <v>8</v>
      </c>
      <c r="V13" s="37">
        <v>44166</v>
      </c>
      <c r="W13" s="4">
        <f>COUNTIFS(staff[Date Joined],"&gt;="&amp;V13,staff[Date Joined],"&lt;="&amp;EOMONTH(V13,0))</f>
        <v>7</v>
      </c>
      <c r="X13" s="4">
        <f xml:space="preserve"> SUM($W$6:W13)</f>
        <v>37</v>
      </c>
    </row>
    <row r="14" spans="3:24" x14ac:dyDescent="0.3">
      <c r="C14" s="4" t="s">
        <v>239</v>
      </c>
      <c r="D14" s="4">
        <v>6</v>
      </c>
      <c r="E14" s="4">
        <v>30</v>
      </c>
      <c r="U14" s="4">
        <v>9</v>
      </c>
      <c r="V14" s="37">
        <v>44197</v>
      </c>
      <c r="W14" s="4">
        <f>COUNTIFS(staff[Date Joined],"&gt;="&amp;V14,staff[Date Joined],"&lt;="&amp;EOMONTH(V14,0))</f>
        <v>6</v>
      </c>
      <c r="X14" s="4">
        <f xml:space="preserve"> SUM($W$6:W14)</f>
        <v>43</v>
      </c>
    </row>
    <row r="15" spans="3:24" x14ac:dyDescent="0.3">
      <c r="C15" s="4" t="s">
        <v>240</v>
      </c>
      <c r="D15" s="4">
        <v>7</v>
      </c>
      <c r="E15" s="4">
        <v>37</v>
      </c>
      <c r="U15" s="4">
        <v>10</v>
      </c>
      <c r="V15" s="37">
        <v>44228</v>
      </c>
      <c r="W15" s="4">
        <f>COUNTIFS(staff[Date Joined],"&gt;="&amp;V15,staff[Date Joined],"&lt;="&amp;EOMONTH(V15,0))</f>
        <v>4</v>
      </c>
      <c r="X15" s="4">
        <f xml:space="preserve"> SUM($W$6:W15)</f>
        <v>47</v>
      </c>
    </row>
    <row r="16" spans="3:24" x14ac:dyDescent="0.3">
      <c r="C16" s="4" t="s">
        <v>241</v>
      </c>
      <c r="U16" s="4">
        <v>11</v>
      </c>
      <c r="V16" s="37">
        <v>44256</v>
      </c>
      <c r="W16" s="4">
        <f>COUNTIFS(staff[Date Joined],"&gt;="&amp;V16,staff[Date Joined],"&lt;="&amp;EOMONTH(V16,0))</f>
        <v>9</v>
      </c>
      <c r="X16" s="4">
        <f xml:space="preserve"> SUM($W$6:W16)</f>
        <v>56</v>
      </c>
    </row>
    <row r="17" spans="3:24" x14ac:dyDescent="0.3">
      <c r="C17" s="4" t="s">
        <v>242</v>
      </c>
      <c r="D17" s="4">
        <v>6</v>
      </c>
      <c r="E17" s="4">
        <v>6</v>
      </c>
      <c r="U17" s="4">
        <v>12</v>
      </c>
      <c r="V17" s="37">
        <v>44287</v>
      </c>
      <c r="W17" s="4">
        <f>COUNTIFS(staff[Date Joined],"&gt;="&amp;V17,staff[Date Joined],"&lt;="&amp;EOMONTH(V17,0))</f>
        <v>5</v>
      </c>
      <c r="X17" s="4">
        <f xml:space="preserve"> SUM($W$6:W17)</f>
        <v>61</v>
      </c>
    </row>
    <row r="18" spans="3:24" x14ac:dyDescent="0.3">
      <c r="C18" s="4" t="s">
        <v>243</v>
      </c>
      <c r="D18" s="4">
        <v>4</v>
      </c>
      <c r="E18" s="4">
        <v>10</v>
      </c>
      <c r="U18" s="4">
        <v>13</v>
      </c>
      <c r="V18" s="37">
        <v>44317</v>
      </c>
      <c r="W18" s="4">
        <f>COUNTIFS(staff[Date Joined],"&gt;="&amp;V18,staff[Date Joined],"&lt;="&amp;EOMONTH(V18,0))</f>
        <v>10</v>
      </c>
      <c r="X18" s="4">
        <f xml:space="preserve"> SUM($W$6:W18)</f>
        <v>71</v>
      </c>
    </row>
    <row r="19" spans="3:24" x14ac:dyDescent="0.3">
      <c r="C19" s="4" t="s">
        <v>244</v>
      </c>
      <c r="D19" s="4">
        <v>9</v>
      </c>
      <c r="E19" s="4">
        <v>19</v>
      </c>
      <c r="U19" s="4">
        <v>14</v>
      </c>
      <c r="V19" s="37">
        <v>44348</v>
      </c>
      <c r="W19" s="4">
        <f>COUNTIFS(staff[Date Joined],"&gt;="&amp;V19,staff[Date Joined],"&lt;="&amp;EOMONTH(V19,0))</f>
        <v>6</v>
      </c>
      <c r="X19" s="4">
        <f xml:space="preserve"> SUM($W$6:W19)</f>
        <v>77</v>
      </c>
    </row>
    <row r="20" spans="3:24" x14ac:dyDescent="0.3">
      <c r="C20" s="4" t="s">
        <v>245</v>
      </c>
      <c r="D20" s="4">
        <v>5</v>
      </c>
      <c r="E20" s="4">
        <v>24</v>
      </c>
      <c r="U20" s="4">
        <v>15</v>
      </c>
      <c r="V20" s="37">
        <v>44378</v>
      </c>
      <c r="W20" s="4">
        <f>COUNTIFS(staff[Date Joined],"&gt;="&amp;V20,staff[Date Joined],"&lt;="&amp;EOMONTH(V20,0))</f>
        <v>13</v>
      </c>
      <c r="X20" s="4">
        <f xml:space="preserve"> SUM($W$6:W20)</f>
        <v>90</v>
      </c>
    </row>
    <row r="21" spans="3:24" x14ac:dyDescent="0.3">
      <c r="C21" s="4" t="s">
        <v>233</v>
      </c>
      <c r="D21" s="4">
        <v>10</v>
      </c>
      <c r="E21" s="4">
        <v>34</v>
      </c>
      <c r="U21" s="4">
        <v>16</v>
      </c>
      <c r="V21" s="37">
        <v>44409</v>
      </c>
      <c r="W21" s="4">
        <f>COUNTIFS(staff[Date Joined],"&gt;="&amp;V21,staff[Date Joined],"&lt;="&amp;EOMONTH(V21,0))</f>
        <v>4</v>
      </c>
      <c r="X21" s="4">
        <f xml:space="preserve"> SUM($W$6:W21)</f>
        <v>94</v>
      </c>
    </row>
    <row r="22" spans="3:24" x14ac:dyDescent="0.3">
      <c r="C22" s="4" t="s">
        <v>234</v>
      </c>
      <c r="D22" s="4">
        <v>6</v>
      </c>
      <c r="E22" s="4">
        <v>40</v>
      </c>
      <c r="U22" s="4">
        <v>17</v>
      </c>
      <c r="V22" s="37">
        <v>44440</v>
      </c>
      <c r="W22" s="4">
        <f>COUNTIFS(staff[Date Joined],"&gt;="&amp;V22,staff[Date Joined],"&lt;="&amp;EOMONTH(V22,0))</f>
        <v>11</v>
      </c>
      <c r="X22" s="4">
        <f xml:space="preserve"> SUM($W$6:W22)</f>
        <v>105</v>
      </c>
    </row>
    <row r="23" spans="3:24" x14ac:dyDescent="0.3">
      <c r="C23" s="4" t="s">
        <v>235</v>
      </c>
      <c r="D23" s="4">
        <v>13</v>
      </c>
      <c r="E23" s="4">
        <v>53</v>
      </c>
      <c r="U23" s="4">
        <v>18</v>
      </c>
      <c r="V23" s="37">
        <v>44470</v>
      </c>
      <c r="W23" s="4">
        <f>COUNTIFS(staff[Date Joined],"&gt;="&amp;V23,staff[Date Joined],"&lt;="&amp;EOMONTH(V23,0))</f>
        <v>3</v>
      </c>
      <c r="X23" s="4">
        <f xml:space="preserve"> SUM($W$6:W23)</f>
        <v>108</v>
      </c>
    </row>
    <row r="24" spans="3:24" x14ac:dyDescent="0.3">
      <c r="C24" s="4" t="s">
        <v>236</v>
      </c>
      <c r="D24" s="4">
        <v>4</v>
      </c>
      <c r="E24" s="4">
        <v>57</v>
      </c>
      <c r="U24" s="4">
        <v>19</v>
      </c>
      <c r="V24" s="37">
        <v>44501</v>
      </c>
      <c r="W24" s="4">
        <f>COUNTIFS(staff[Date Joined],"&gt;="&amp;V24,staff[Date Joined],"&lt;="&amp;EOMONTH(V24,0))</f>
        <v>4</v>
      </c>
      <c r="X24" s="4">
        <f xml:space="preserve"> SUM($W$6:W24)</f>
        <v>112</v>
      </c>
    </row>
    <row r="25" spans="3:24" x14ac:dyDescent="0.3">
      <c r="C25" s="4" t="s">
        <v>237</v>
      </c>
      <c r="D25" s="4">
        <v>11</v>
      </c>
      <c r="E25" s="4">
        <v>68</v>
      </c>
      <c r="U25" s="4">
        <v>20</v>
      </c>
      <c r="V25" s="37">
        <v>44531</v>
      </c>
      <c r="W25" s="4">
        <f>COUNTIFS(staff[Date Joined],"&gt;="&amp;V25,staff[Date Joined],"&lt;="&amp;EOMONTH(V25,0))</f>
        <v>7</v>
      </c>
      <c r="X25" s="4">
        <f xml:space="preserve"> SUM($W$6:W25)</f>
        <v>119</v>
      </c>
    </row>
    <row r="26" spans="3:24" x14ac:dyDescent="0.3">
      <c r="C26" s="4" t="s">
        <v>238</v>
      </c>
      <c r="D26" s="4">
        <v>3</v>
      </c>
      <c r="E26" s="4">
        <v>71</v>
      </c>
      <c r="U26" s="4">
        <v>21</v>
      </c>
      <c r="V26" s="37">
        <v>44562</v>
      </c>
      <c r="W26" s="4">
        <f>COUNTIFS(staff[Date Joined],"&gt;="&amp;V26,staff[Date Joined],"&lt;="&amp;EOMONTH(V26,0))</f>
        <v>3</v>
      </c>
      <c r="X26" s="4">
        <f xml:space="preserve"> SUM($W$6:W26)</f>
        <v>122</v>
      </c>
    </row>
    <row r="27" spans="3:24" x14ac:dyDescent="0.3">
      <c r="C27" s="4" t="s">
        <v>239</v>
      </c>
      <c r="D27" s="4">
        <v>4</v>
      </c>
      <c r="E27" s="4">
        <v>75</v>
      </c>
      <c r="U27" s="4">
        <v>22</v>
      </c>
      <c r="V27" s="37">
        <v>44593</v>
      </c>
      <c r="W27" s="4">
        <f>COUNTIFS(staff[Date Joined],"&gt;="&amp;V27,staff[Date Joined],"&lt;="&amp;EOMONTH(V27,0))</f>
        <v>10</v>
      </c>
      <c r="X27" s="4">
        <f xml:space="preserve"> SUM($W$6:W27)</f>
        <v>132</v>
      </c>
    </row>
    <row r="28" spans="3:24" x14ac:dyDescent="0.3">
      <c r="C28" s="4" t="s">
        <v>240</v>
      </c>
      <c r="D28" s="4">
        <v>7</v>
      </c>
      <c r="E28" s="4">
        <v>82</v>
      </c>
      <c r="U28" s="4">
        <v>23</v>
      </c>
      <c r="V28" s="37">
        <v>44621</v>
      </c>
      <c r="W28" s="4">
        <f>COUNTIFS(staff[Date Joined],"&gt;="&amp;V28,staff[Date Joined],"&lt;="&amp;EOMONTH(V28,0))</f>
        <v>9</v>
      </c>
      <c r="X28" s="4">
        <f xml:space="preserve"> SUM($W$6:W28)</f>
        <v>141</v>
      </c>
    </row>
    <row r="29" spans="3:24" x14ac:dyDescent="0.3">
      <c r="C29" s="4" t="s">
        <v>246</v>
      </c>
      <c r="U29" s="4">
        <v>24</v>
      </c>
      <c r="V29" s="37">
        <v>44652</v>
      </c>
      <c r="W29" s="4">
        <f>COUNTIFS(staff[Date Joined],"&gt;="&amp;V29,staff[Date Joined],"&lt;="&amp;EOMONTH(V29,0))</f>
        <v>9</v>
      </c>
      <c r="X29" s="4">
        <f xml:space="preserve"> SUM($W$6:W29)</f>
        <v>150</v>
      </c>
    </row>
    <row r="30" spans="3:24" x14ac:dyDescent="0.3">
      <c r="C30" s="4" t="s">
        <v>242</v>
      </c>
      <c r="D30" s="4">
        <v>3</v>
      </c>
      <c r="E30" s="4">
        <v>3</v>
      </c>
      <c r="U30" s="4">
        <v>25</v>
      </c>
      <c r="V30" s="37">
        <v>44682</v>
      </c>
      <c r="W30" s="4">
        <f>COUNTIFS(staff[Date Joined],"&gt;="&amp;V30,staff[Date Joined],"&lt;="&amp;EOMONTH(V30,0))</f>
        <v>9</v>
      </c>
      <c r="X30" s="4">
        <f xml:space="preserve"> SUM($W$6:W30)</f>
        <v>159</v>
      </c>
    </row>
    <row r="31" spans="3:24" x14ac:dyDescent="0.3">
      <c r="C31" s="4" t="s">
        <v>243</v>
      </c>
      <c r="D31" s="4">
        <v>10</v>
      </c>
      <c r="E31" s="4">
        <v>13</v>
      </c>
      <c r="U31" s="4">
        <v>26</v>
      </c>
      <c r="V31" s="37">
        <v>44713</v>
      </c>
      <c r="W31" s="4">
        <f>COUNTIFS(staff[Date Joined],"&gt;="&amp;V31,staff[Date Joined],"&lt;="&amp;EOMONTH(V31,0))</f>
        <v>7</v>
      </c>
      <c r="X31" s="4">
        <f xml:space="preserve"> SUM($W$6:W31)</f>
        <v>166</v>
      </c>
    </row>
    <row r="32" spans="3:24" x14ac:dyDescent="0.3">
      <c r="C32" s="4" t="s">
        <v>244</v>
      </c>
      <c r="D32" s="4">
        <v>9</v>
      </c>
      <c r="E32" s="4">
        <v>22</v>
      </c>
      <c r="U32" s="4">
        <v>27</v>
      </c>
      <c r="V32" s="37">
        <v>44743</v>
      </c>
      <c r="W32" s="4">
        <f>COUNTIFS(staff[Date Joined],"&gt;="&amp;V32,staff[Date Joined],"&lt;="&amp;EOMONTH(V32,0))</f>
        <v>5</v>
      </c>
      <c r="X32" s="4">
        <f xml:space="preserve"> SUM($W$6:W32)</f>
        <v>171</v>
      </c>
    </row>
    <row r="33" spans="3:24" x14ac:dyDescent="0.3">
      <c r="C33" s="4" t="s">
        <v>245</v>
      </c>
      <c r="D33" s="4">
        <v>9</v>
      </c>
      <c r="E33" s="4">
        <v>31</v>
      </c>
      <c r="U33" s="4">
        <v>28</v>
      </c>
      <c r="V33" s="37">
        <v>44774</v>
      </c>
      <c r="W33" s="4">
        <f>COUNTIFS(staff[Date Joined],"&gt;="&amp;V33,staff[Date Joined],"&lt;="&amp;EOMONTH(V33,0))</f>
        <v>5</v>
      </c>
      <c r="X33" s="4">
        <f xml:space="preserve"> SUM($W$6:W33)</f>
        <v>176</v>
      </c>
    </row>
    <row r="34" spans="3:24" x14ac:dyDescent="0.3">
      <c r="C34" s="4" t="s">
        <v>233</v>
      </c>
      <c r="D34" s="4">
        <v>9</v>
      </c>
      <c r="E34" s="4">
        <v>40</v>
      </c>
      <c r="U34" s="4">
        <v>29</v>
      </c>
      <c r="V34" s="37">
        <v>44805</v>
      </c>
      <c r="W34" s="4">
        <f>COUNTIFS(staff[Date Joined],"&gt;="&amp;V34,staff[Date Joined],"&lt;="&amp;EOMONTH(V34,0))</f>
        <v>2</v>
      </c>
      <c r="X34" s="4">
        <f xml:space="preserve"> SUM($W$6:W34)</f>
        <v>178</v>
      </c>
    </row>
    <row r="35" spans="3:24" x14ac:dyDescent="0.3">
      <c r="C35" s="4" t="s">
        <v>234</v>
      </c>
      <c r="D35" s="4">
        <v>7</v>
      </c>
      <c r="E35" s="4">
        <v>47</v>
      </c>
      <c r="U35" s="4">
        <v>30</v>
      </c>
      <c r="V35" s="37">
        <v>44835</v>
      </c>
      <c r="W35" s="4">
        <f>COUNTIFS(staff[Date Joined],"&gt;="&amp;V35,staff[Date Joined],"&lt;="&amp;EOMONTH(V35,0))</f>
        <v>3</v>
      </c>
      <c r="X35" s="4">
        <f xml:space="preserve"> SUM($W$6:W35)</f>
        <v>181</v>
      </c>
    </row>
    <row r="36" spans="3:24" x14ac:dyDescent="0.3">
      <c r="C36" s="4" t="s">
        <v>235</v>
      </c>
      <c r="D36" s="4">
        <v>5</v>
      </c>
      <c r="E36" s="4">
        <v>52</v>
      </c>
      <c r="U36" s="4">
        <v>31</v>
      </c>
      <c r="V36" s="37">
        <v>44866</v>
      </c>
      <c r="W36" s="4">
        <f>COUNTIFS(staff[Date Joined],"&gt;="&amp;V36,staff[Date Joined],"&lt;="&amp;EOMONTH(V36,0))</f>
        <v>0</v>
      </c>
      <c r="X36" s="4">
        <f xml:space="preserve"> SUM($W$6:W36)</f>
        <v>181</v>
      </c>
    </row>
    <row r="37" spans="3:24" x14ac:dyDescent="0.3">
      <c r="C37" s="4" t="s">
        <v>236</v>
      </c>
      <c r="D37" s="4">
        <v>5</v>
      </c>
      <c r="E37" s="4">
        <v>57</v>
      </c>
      <c r="U37" s="4">
        <v>32</v>
      </c>
      <c r="V37" s="37">
        <v>44896</v>
      </c>
      <c r="W37" s="4">
        <f>COUNTIFS(staff[Date Joined],"&gt;="&amp;V37,staff[Date Joined],"&lt;="&amp;EOMONTH(V37,0))</f>
        <v>0</v>
      </c>
      <c r="X37" s="4">
        <f xml:space="preserve"> SUM($W$6:W37)</f>
        <v>181</v>
      </c>
    </row>
    <row r="38" spans="3:24" x14ac:dyDescent="0.3">
      <c r="C38" s="4" t="s">
        <v>237</v>
      </c>
      <c r="D38" s="4">
        <v>2</v>
      </c>
      <c r="E38" s="4">
        <v>59</v>
      </c>
      <c r="U38" s="4">
        <v>33</v>
      </c>
      <c r="V38" s="37">
        <v>44927</v>
      </c>
      <c r="W38" s="4">
        <f>COUNTIFS(staff[Date Joined],"&gt;="&amp;V38,staff[Date Joined],"&lt;="&amp;EOMONTH(V38,0))</f>
        <v>0</v>
      </c>
      <c r="X38" s="4">
        <f xml:space="preserve"> SUM($W$6:W38)</f>
        <v>181</v>
      </c>
    </row>
    <row r="39" spans="3:24" x14ac:dyDescent="0.3">
      <c r="C39" s="4" t="s">
        <v>238</v>
      </c>
      <c r="D39" s="4">
        <v>3</v>
      </c>
      <c r="E39" s="4">
        <v>62</v>
      </c>
      <c r="U39" s="4">
        <v>34</v>
      </c>
      <c r="V39" s="37">
        <v>44958</v>
      </c>
      <c r="W39" s="4">
        <f>COUNTIFS(staff[Date Joined],"&gt;="&amp;V39,staff[Date Joined],"&lt;="&amp;EOMONTH(V39,0))</f>
        <v>1</v>
      </c>
      <c r="X39" s="4">
        <f xml:space="preserve"> SUM($W$6:W39)</f>
        <v>182</v>
      </c>
    </row>
    <row r="40" spans="3:24" x14ac:dyDescent="0.3">
      <c r="C40" s="4" t="s">
        <v>247</v>
      </c>
      <c r="U40" s="4">
        <v>35</v>
      </c>
      <c r="V40" s="37">
        <v>44986</v>
      </c>
      <c r="W40" s="4">
        <f>COUNTIFS(staff[Date Joined],"&gt;="&amp;V40,staff[Date Joined],"&lt;="&amp;EOMONTH(V40,0))</f>
        <v>0</v>
      </c>
      <c r="X40" s="4">
        <f xml:space="preserve"> SUM($W$6:W40)</f>
        <v>182</v>
      </c>
    </row>
    <row r="41" spans="3:24" x14ac:dyDescent="0.3">
      <c r="C41" s="4" t="s">
        <v>243</v>
      </c>
      <c r="D41" s="4">
        <v>1</v>
      </c>
      <c r="E41" s="4">
        <v>1</v>
      </c>
      <c r="U41" s="4">
        <v>36</v>
      </c>
      <c r="V41" s="37">
        <v>45017</v>
      </c>
      <c r="W41" s="4">
        <f>COUNTIFS(staff[Date Joined],"&gt;="&amp;V41,staff[Date Joined],"&lt;="&amp;EOMONTH(V41,0))</f>
        <v>1</v>
      </c>
      <c r="X41" s="4">
        <f xml:space="preserve"> SUM($W$6:W41)</f>
        <v>183</v>
      </c>
    </row>
    <row r="42" spans="3:24" x14ac:dyDescent="0.3">
      <c r="C42" s="4" t="s">
        <v>245</v>
      </c>
      <c r="D42" s="4">
        <v>1</v>
      </c>
      <c r="E42" s="4">
        <v>2</v>
      </c>
      <c r="V42" s="37"/>
    </row>
    <row r="43" spans="3:24" x14ac:dyDescent="0.3">
      <c r="C43" s="4" t="s">
        <v>221</v>
      </c>
      <c r="D43" s="4">
        <v>183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6C478-81B7-4FA3-B7DF-7F50CB21955D}">
  <dimension ref="B8:D14"/>
  <sheetViews>
    <sheetView workbookViewId="0">
      <selection activeCell="P24" sqref="P24"/>
    </sheetView>
  </sheetViews>
  <sheetFormatPr defaultRowHeight="14.4" x14ac:dyDescent="0.3"/>
  <cols>
    <col min="2" max="2" width="13.109375" bestFit="1" customWidth="1"/>
    <col min="3" max="3" width="13.88671875" bestFit="1" customWidth="1"/>
    <col min="4" max="4" width="15.77734375" bestFit="1" customWidth="1"/>
    <col min="5" max="70" width="6" bestFit="1" customWidth="1"/>
    <col min="71" max="92" width="7" bestFit="1" customWidth="1"/>
    <col min="93" max="93" width="10.77734375" bestFit="1" customWidth="1"/>
  </cols>
  <sheetData>
    <row r="8" spans="2:4" x14ac:dyDescent="0.3">
      <c r="B8" s="27" t="s">
        <v>224</v>
      </c>
      <c r="C8" t="s">
        <v>222</v>
      </c>
      <c r="D8" t="s">
        <v>230</v>
      </c>
    </row>
    <row r="9" spans="2:4" x14ac:dyDescent="0.3">
      <c r="B9" s="28" t="s">
        <v>10</v>
      </c>
      <c r="C9">
        <v>4</v>
      </c>
      <c r="D9" s="22">
        <v>92080</v>
      </c>
    </row>
    <row r="10" spans="2:4" x14ac:dyDescent="0.3">
      <c r="B10" s="28" t="s">
        <v>13</v>
      </c>
      <c r="C10">
        <v>20</v>
      </c>
      <c r="D10" s="22">
        <v>75933</v>
      </c>
    </row>
    <row r="11" spans="2:4" x14ac:dyDescent="0.3">
      <c r="B11" s="28" t="s">
        <v>16</v>
      </c>
      <c r="C11">
        <v>137</v>
      </c>
      <c r="D11" s="22">
        <v>76798.759124087592</v>
      </c>
    </row>
    <row r="12" spans="2:4" x14ac:dyDescent="0.3">
      <c r="B12" s="28" t="s">
        <v>24</v>
      </c>
      <c r="C12">
        <v>16</v>
      </c>
      <c r="D12" s="22">
        <v>78115</v>
      </c>
    </row>
    <row r="13" spans="2:4" x14ac:dyDescent="0.3">
      <c r="B13" s="28" t="s">
        <v>42</v>
      </c>
      <c r="C13">
        <v>6</v>
      </c>
      <c r="D13" s="22">
        <v>77423.333333333328</v>
      </c>
    </row>
    <row r="14" spans="2:4" x14ac:dyDescent="0.3">
      <c r="B14" s="28" t="s">
        <v>221</v>
      </c>
      <c r="C14">
        <v>183</v>
      </c>
      <c r="D14" s="22">
        <v>77173.715846994543</v>
      </c>
    </row>
  </sheetData>
  <conditionalFormatting pivot="1" sqref="D9:D14">
    <cfRule type="dataBar" priority="1">
      <dataBar>
        <cfvo type="min"/>
        <cfvo type="max"/>
        <color rgb="FFFF555A"/>
      </dataBar>
      <extLst>
        <ext xmlns:x14="http://schemas.microsoft.com/office/spreadsheetml/2009/9/main" uri="{B025F937-C7B1-47D3-B67F-A62EFF666E3E}">
          <x14:id>{5F5E5FD2-905D-41FE-B7A9-39F9CD39ACAA}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F5E5FD2-905D-41FE-B7A9-39F9CD39ACAA}">
            <x14:dataBar minLength="0" maxLength="100" border="1" negativeBarBorderColorSameAsPositive="0">
              <x14:cfvo type="autoMin"/>
              <x14:cfvo type="autoMax"/>
              <x14:borderColor rgb="FFFF555A"/>
              <x14:negativeFillColor rgb="FFFF0000"/>
              <x14:negativeBorderColor rgb="FFFF0000"/>
              <x14:axisColor rgb="FF000000"/>
            </x14:dataBar>
          </x14:cfRule>
          <xm:sqref>D9:D14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C5D7B-C2FB-4D46-91FC-F712F880C927}">
  <dimension ref="A1"/>
  <sheetViews>
    <sheetView zoomScale="85" zoomScaleNormal="85" workbookViewId="0">
      <selection activeCell="V21" sqref="V21"/>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B65C3-51B7-4513-A766-DB575171D0FC}">
  <dimension ref="A1:P44"/>
  <sheetViews>
    <sheetView topLeftCell="B1" workbookViewId="0">
      <selection activeCell="P10" sqref="P10"/>
    </sheetView>
  </sheetViews>
  <sheetFormatPr defaultRowHeight="14.4" x14ac:dyDescent="0.3"/>
  <cols>
    <col min="1" max="1" width="27.33203125" bestFit="1" customWidth="1"/>
    <col min="3" max="3" width="26.33203125" style="4" bestFit="1" customWidth="1"/>
    <col min="4" max="4" width="6.88671875" hidden="1" customWidth="1"/>
    <col min="5" max="5" width="7.21875" hidden="1" customWidth="1"/>
    <col min="6" max="6" width="3" hidden="1" customWidth="1"/>
    <col min="7" max="7" width="6" hidden="1" customWidth="1"/>
    <col min="8" max="8" width="9.33203125" style="4" bestFit="1" customWidth="1"/>
    <col min="9" max="9" width="13.109375" style="4" bestFit="1" customWidth="1"/>
    <col min="10" max="10" width="5" hidden="1" customWidth="1"/>
    <col min="11" max="11" width="12" hidden="1" customWidth="1"/>
    <col min="13" max="13" width="24.77734375" bestFit="1" customWidth="1"/>
    <col min="14" max="14" width="23" bestFit="1" customWidth="1"/>
    <col min="15" max="15" width="24.77734375" bestFit="1" customWidth="1"/>
    <col min="16" max="16" width="23" bestFit="1" customWidth="1"/>
  </cols>
  <sheetData>
    <row r="1" spans="1:16" ht="23.4" x14ac:dyDescent="0.45">
      <c r="A1" s="32" t="s">
        <v>211</v>
      </c>
    </row>
    <row r="2" spans="1:16" ht="15" thickBot="1" x14ac:dyDescent="0.35">
      <c r="A2" s="33" t="s">
        <v>213</v>
      </c>
    </row>
    <row r="6" spans="1:16" ht="23.4" x14ac:dyDescent="0.45">
      <c r="C6" s="13" t="s">
        <v>0</v>
      </c>
      <c r="D6" s="12"/>
      <c r="E6" s="12"/>
      <c r="F6" s="12"/>
      <c r="G6" s="12"/>
      <c r="H6" s="13" t="s">
        <v>5</v>
      </c>
      <c r="I6" s="13" t="s">
        <v>6</v>
      </c>
    </row>
    <row r="7" spans="1:16" x14ac:dyDescent="0.3">
      <c r="C7" s="4" t="str" cm="1">
        <f t="array" aca="1" ref="C7:M44" ca="1">_xlfn._xlws.SORT(_xlfn._xlws.FILTER(staff[],staff[Department]=P10),6,-1)</f>
        <v>Benny Karolovsky</v>
      </c>
      <c r="D7" t="str">
        <f ca="1"/>
        <v>other</v>
      </c>
      <c r="E7" t="str">
        <f ca="1"/>
        <v>Finance</v>
      </c>
      <c r="F7">
        <f ca="1"/>
        <v>37</v>
      </c>
      <c r="G7">
        <f ca="1"/>
        <v>44146</v>
      </c>
      <c r="H7" s="4">
        <f ca="1"/>
        <v>115440</v>
      </c>
      <c r="I7" s="4" t="str">
        <f ca="1"/>
        <v>Poor</v>
      </c>
      <c r="J7" t="str">
        <f ca="1"/>
        <v>nz</v>
      </c>
      <c r="K7">
        <f ca="1"/>
        <v>5.6821917808219178</v>
      </c>
      <c r="L7">
        <f ca="1"/>
        <v>3464</v>
      </c>
      <c r="M7">
        <f ca="1"/>
        <v>2</v>
      </c>
    </row>
    <row r="8" spans="1:16" x14ac:dyDescent="0.3">
      <c r="C8" s="4" t="str">
        <f ca="1"/>
        <v>Sahila Chandrasekhar</v>
      </c>
      <c r="D8" t="str">
        <f ca="1"/>
        <v>other</v>
      </c>
      <c r="E8" t="str">
        <f ca="1"/>
        <v>Finance</v>
      </c>
      <c r="F8">
        <f ca="1"/>
        <v>37</v>
      </c>
      <c r="G8">
        <f ca="1"/>
        <v>44085</v>
      </c>
      <c r="H8" s="4">
        <f ca="1"/>
        <v>115440</v>
      </c>
      <c r="I8" s="4" t="str">
        <f ca="1"/>
        <v>Poor</v>
      </c>
      <c r="J8" t="str">
        <f ca="1"/>
        <v>India</v>
      </c>
      <c r="K8">
        <f ca="1"/>
        <v>5.8493150684931505</v>
      </c>
      <c r="L8">
        <f ca="1"/>
        <v>3464</v>
      </c>
      <c r="M8">
        <f ca="1"/>
        <v>2</v>
      </c>
    </row>
    <row r="9" spans="1:16" x14ac:dyDescent="0.3">
      <c r="C9" s="4" t="str">
        <f ca="1"/>
        <v>Constantino Espley</v>
      </c>
      <c r="D9" t="str">
        <f ca="1"/>
        <v>Male</v>
      </c>
      <c r="E9" t="str">
        <f ca="1"/>
        <v>Finance</v>
      </c>
      <c r="F9">
        <f ca="1"/>
        <v>30</v>
      </c>
      <c r="G9">
        <f ca="1"/>
        <v>44606</v>
      </c>
      <c r="H9" s="4">
        <f ca="1"/>
        <v>96800</v>
      </c>
      <c r="I9" s="4" t="str">
        <f ca="1"/>
        <v>Average</v>
      </c>
      <c r="J9" t="str">
        <f ca="1"/>
        <v>nz</v>
      </c>
      <c r="K9">
        <f ca="1"/>
        <v>4.4219178082191783</v>
      </c>
      <c r="L9">
        <f ca="1"/>
        <v>2904</v>
      </c>
      <c r="M9">
        <f ca="1"/>
        <v>3</v>
      </c>
      <c r="P9" s="26" t="s">
        <v>266</v>
      </c>
    </row>
    <row r="10" spans="1:16" ht="18" x14ac:dyDescent="0.3">
      <c r="C10" s="4" t="str">
        <f ca="1"/>
        <v>Mithil Nadkarni</v>
      </c>
      <c r="D10" t="str">
        <f ca="1"/>
        <v>Male</v>
      </c>
      <c r="E10" t="str">
        <f ca="1"/>
        <v>Finance</v>
      </c>
      <c r="F10">
        <f ca="1"/>
        <v>30</v>
      </c>
      <c r="G10">
        <f ca="1"/>
        <v>44544</v>
      </c>
      <c r="H10" s="4">
        <f ca="1"/>
        <v>96800</v>
      </c>
      <c r="I10" s="4" t="str">
        <f ca="1"/>
        <v>Average</v>
      </c>
      <c r="J10" t="str">
        <f ca="1"/>
        <v>India</v>
      </c>
      <c r="K10">
        <f ca="1"/>
        <v>4.5917808219178085</v>
      </c>
      <c r="L10">
        <f ca="1"/>
        <v>2904</v>
      </c>
      <c r="M10">
        <f ca="1"/>
        <v>3</v>
      </c>
      <c r="O10" s="14" t="s">
        <v>212</v>
      </c>
      <c r="P10" s="16" t="s">
        <v>21</v>
      </c>
    </row>
    <row r="11" spans="1:16" ht="18" x14ac:dyDescent="0.3">
      <c r="C11" s="4" t="str">
        <f ca="1"/>
        <v>Leilah Yesinin</v>
      </c>
      <c r="D11" t="str">
        <f ca="1"/>
        <v>Female</v>
      </c>
      <c r="E11" t="str">
        <f ca="1"/>
        <v>Finance</v>
      </c>
      <c r="F11">
        <f ca="1"/>
        <v>34</v>
      </c>
      <c r="G11">
        <f ca="1"/>
        <v>44445</v>
      </c>
      <c r="H11" s="4">
        <f ca="1"/>
        <v>92450</v>
      </c>
      <c r="I11" s="4" t="str">
        <f ca="1"/>
        <v>Average</v>
      </c>
      <c r="J11" t="str">
        <f ca="1"/>
        <v>nz</v>
      </c>
      <c r="K11">
        <f ca="1"/>
        <v>4.8630136986301373</v>
      </c>
      <c r="L11">
        <f ca="1"/>
        <v>2774</v>
      </c>
      <c r="M11">
        <f ca="1"/>
        <v>3</v>
      </c>
      <c r="O11" s="14" t="s">
        <v>210</v>
      </c>
      <c r="P11" s="15">
        <f>COUNTIF(staff[Department],P10)</f>
        <v>38</v>
      </c>
    </row>
    <row r="12" spans="1:16" x14ac:dyDescent="0.3">
      <c r="C12" s="4" t="str">
        <f ca="1"/>
        <v>Deepit Ranjana</v>
      </c>
      <c r="D12" t="str">
        <f ca="1"/>
        <v>Female</v>
      </c>
      <c r="E12" t="str">
        <f ca="1"/>
        <v>Finance</v>
      </c>
      <c r="F12">
        <f ca="1"/>
        <v>34</v>
      </c>
      <c r="G12">
        <f ca="1"/>
        <v>44383</v>
      </c>
      <c r="H12" s="4">
        <f ca="1"/>
        <v>92450</v>
      </c>
      <c r="I12" s="4" t="str">
        <f ca="1"/>
        <v>Average</v>
      </c>
      <c r="J12" t="str">
        <f ca="1"/>
        <v>India</v>
      </c>
      <c r="K12">
        <f ca="1"/>
        <v>5.0328767123287674</v>
      </c>
      <c r="L12">
        <f ca="1"/>
        <v>2774</v>
      </c>
      <c r="M12">
        <f ca="1"/>
        <v>3</v>
      </c>
    </row>
    <row r="13" spans="1:16" x14ac:dyDescent="0.3">
      <c r="C13" s="4" t="str">
        <f ca="1"/>
        <v>Enoch Dowrey</v>
      </c>
      <c r="D13" t="str">
        <f ca="1"/>
        <v>Male</v>
      </c>
      <c r="E13" t="str">
        <f ca="1"/>
        <v>Finance</v>
      </c>
      <c r="F13">
        <f ca="1"/>
        <v>27</v>
      </c>
      <c r="G13">
        <f ca="1"/>
        <v>44236</v>
      </c>
      <c r="H13" s="4">
        <f ca="1"/>
        <v>91650</v>
      </c>
      <c r="I13" s="4" t="str">
        <f ca="1"/>
        <v>Above average</v>
      </c>
      <c r="J13" t="str">
        <f ca="1"/>
        <v>nz</v>
      </c>
      <c r="K13">
        <f ca="1"/>
        <v>5.4356164383561643</v>
      </c>
      <c r="L13">
        <f ca="1"/>
        <v>2750</v>
      </c>
      <c r="M13">
        <f ca="1"/>
        <v>4</v>
      </c>
    </row>
    <row r="14" spans="1:16" x14ac:dyDescent="0.3">
      <c r="C14" s="4" t="str">
        <f ca="1"/>
        <v>Kamalakshi Mukundan</v>
      </c>
      <c r="D14" t="str">
        <f ca="1"/>
        <v>Male</v>
      </c>
      <c r="E14" t="str">
        <f ca="1"/>
        <v>Finance</v>
      </c>
      <c r="F14">
        <f ca="1"/>
        <v>27</v>
      </c>
      <c r="G14">
        <f ca="1"/>
        <v>44174</v>
      </c>
      <c r="H14" s="4">
        <f ca="1"/>
        <v>91650</v>
      </c>
      <c r="I14" s="4" t="str">
        <f ca="1"/>
        <v>Above average</v>
      </c>
      <c r="J14" t="str">
        <f ca="1"/>
        <v>India</v>
      </c>
      <c r="K14">
        <f ca="1"/>
        <v>5.6054794520547944</v>
      </c>
      <c r="L14">
        <f ca="1"/>
        <v>2750</v>
      </c>
      <c r="M14">
        <f ca="1"/>
        <v>4</v>
      </c>
    </row>
    <row r="15" spans="1:16" x14ac:dyDescent="0.3">
      <c r="C15" s="4" t="str">
        <f ca="1"/>
        <v>Sibyl Dunkirk</v>
      </c>
      <c r="D15" t="str">
        <f ca="1"/>
        <v>Female</v>
      </c>
      <c r="E15" t="str">
        <f ca="1"/>
        <v>Finance</v>
      </c>
      <c r="F15">
        <f ca="1"/>
        <v>33</v>
      </c>
      <c r="G15">
        <f ca="1"/>
        <v>44809</v>
      </c>
      <c r="H15" s="4">
        <f ca="1"/>
        <v>86570</v>
      </c>
      <c r="I15" s="4" t="str">
        <f ca="1"/>
        <v>Average</v>
      </c>
      <c r="J15" t="str">
        <f ca="1"/>
        <v>nz</v>
      </c>
      <c r="K15">
        <f ca="1"/>
        <v>3.8657534246575342</v>
      </c>
      <c r="L15">
        <f ca="1"/>
        <v>2598</v>
      </c>
      <c r="M15">
        <f ca="1"/>
        <v>3</v>
      </c>
    </row>
    <row r="16" spans="1:16" x14ac:dyDescent="0.3">
      <c r="C16" s="4" t="str">
        <f ca="1"/>
        <v>Madhumati Gazala Soumitra</v>
      </c>
      <c r="D16" t="str">
        <f ca="1"/>
        <v>Female</v>
      </c>
      <c r="E16" t="str">
        <f ca="1"/>
        <v>Finance</v>
      </c>
      <c r="F16">
        <f ca="1"/>
        <v>33</v>
      </c>
      <c r="G16">
        <f ca="1"/>
        <v>44747</v>
      </c>
      <c r="H16" s="4">
        <f ca="1"/>
        <v>86570</v>
      </c>
      <c r="I16" s="4" t="str">
        <f ca="1"/>
        <v>Average</v>
      </c>
      <c r="J16" t="str">
        <f ca="1"/>
        <v>India</v>
      </c>
      <c r="K16">
        <f ca="1"/>
        <v>4.0356164383561648</v>
      </c>
      <c r="L16">
        <f ca="1"/>
        <v>2598</v>
      </c>
      <c r="M16">
        <f ca="1"/>
        <v>3</v>
      </c>
    </row>
    <row r="17" spans="3:13" x14ac:dyDescent="0.3">
      <c r="C17" s="4" t="str">
        <f ca="1"/>
        <v>Karlen McCaffrey</v>
      </c>
      <c r="D17" t="str">
        <f ca="1"/>
        <v>Female</v>
      </c>
      <c r="E17" t="str">
        <f ca="1"/>
        <v>Finance</v>
      </c>
      <c r="F17">
        <f ca="1"/>
        <v>34</v>
      </c>
      <c r="G17">
        <f ca="1"/>
        <v>44459</v>
      </c>
      <c r="H17" s="4">
        <f ca="1"/>
        <v>85000</v>
      </c>
      <c r="I17" s="4" t="str">
        <f ca="1"/>
        <v>Average</v>
      </c>
      <c r="J17" t="str">
        <f ca="1"/>
        <v>nz</v>
      </c>
      <c r="K17">
        <f ca="1"/>
        <v>4.8246575342465752</v>
      </c>
      <c r="L17">
        <f ca="1"/>
        <v>2550</v>
      </c>
      <c r="M17">
        <f ca="1"/>
        <v>3</v>
      </c>
    </row>
    <row r="18" spans="3:13" x14ac:dyDescent="0.3">
      <c r="C18" s="4" t="str">
        <f ca="1"/>
        <v>Tarala Vishaal</v>
      </c>
      <c r="D18" t="str">
        <f ca="1"/>
        <v>Female</v>
      </c>
      <c r="E18" t="str">
        <f ca="1"/>
        <v>Finance</v>
      </c>
      <c r="F18">
        <f ca="1"/>
        <v>34</v>
      </c>
      <c r="G18">
        <f ca="1"/>
        <v>44397</v>
      </c>
      <c r="H18" s="4">
        <f ca="1"/>
        <v>85000</v>
      </c>
      <c r="I18" s="4" t="str">
        <f ca="1"/>
        <v>Average</v>
      </c>
      <c r="J18" t="str">
        <f ca="1"/>
        <v>India</v>
      </c>
      <c r="K18">
        <f ca="1"/>
        <v>4.9945205479452053</v>
      </c>
      <c r="L18">
        <f ca="1"/>
        <v>2550</v>
      </c>
      <c r="M18">
        <f ca="1"/>
        <v>3</v>
      </c>
    </row>
    <row r="19" spans="3:13" x14ac:dyDescent="0.3">
      <c r="C19" s="4" t="str">
        <f ca="1"/>
        <v>Beverie Moffet</v>
      </c>
      <c r="D19" t="str">
        <f ca="1"/>
        <v>Female</v>
      </c>
      <c r="E19" t="str">
        <f ca="1"/>
        <v>Finance</v>
      </c>
      <c r="F19">
        <f ca="1"/>
        <v>28</v>
      </c>
      <c r="G19">
        <f ca="1"/>
        <v>44185</v>
      </c>
      <c r="H19" s="4">
        <f ca="1"/>
        <v>75970</v>
      </c>
      <c r="I19" s="4" t="str">
        <f ca="1"/>
        <v>Average</v>
      </c>
      <c r="J19" t="str">
        <f ca="1"/>
        <v>nz</v>
      </c>
      <c r="K19">
        <f ca="1"/>
        <v>5.5753424657534243</v>
      </c>
      <c r="L19">
        <f ca="1"/>
        <v>2280</v>
      </c>
      <c r="M19">
        <f ca="1"/>
        <v>3</v>
      </c>
    </row>
    <row r="20" spans="3:13" x14ac:dyDescent="0.3">
      <c r="C20" s="4" t="str">
        <f ca="1"/>
        <v>Indu Varada Sumedh</v>
      </c>
      <c r="D20" t="str">
        <f ca="1"/>
        <v>Female</v>
      </c>
      <c r="E20" t="str">
        <f ca="1"/>
        <v>Finance</v>
      </c>
      <c r="F20">
        <f ca="1"/>
        <v>28</v>
      </c>
      <c r="G20">
        <f ca="1"/>
        <v>44124</v>
      </c>
      <c r="H20" s="4">
        <f ca="1"/>
        <v>75970</v>
      </c>
      <c r="I20" s="4" t="str">
        <f ca="1"/>
        <v>Average</v>
      </c>
      <c r="J20" t="str">
        <f ca="1"/>
        <v>India</v>
      </c>
      <c r="K20">
        <f ca="1"/>
        <v>5.7424657534246579</v>
      </c>
      <c r="L20">
        <f ca="1"/>
        <v>2280</v>
      </c>
      <c r="M20">
        <f ca="1"/>
        <v>3</v>
      </c>
    </row>
    <row r="21" spans="3:13" x14ac:dyDescent="0.3">
      <c r="C21" s="4" t="str">
        <f ca="1"/>
        <v>Bennie Pepis</v>
      </c>
      <c r="D21" t="str">
        <f ca="1"/>
        <v>Male</v>
      </c>
      <c r="E21" t="str">
        <f ca="1"/>
        <v>Finance</v>
      </c>
      <c r="F21">
        <f ca="1"/>
        <v>36</v>
      </c>
      <c r="G21">
        <f ca="1"/>
        <v>44333</v>
      </c>
      <c r="H21" s="4">
        <f ca="1"/>
        <v>71380</v>
      </c>
      <c r="I21" s="4" t="str">
        <f ca="1"/>
        <v>Average</v>
      </c>
      <c r="J21" t="str">
        <f ca="1"/>
        <v>nz</v>
      </c>
      <c r="K21">
        <f ca="1"/>
        <v>5.1698630136986301</v>
      </c>
      <c r="L21">
        <f ca="1"/>
        <v>2142</v>
      </c>
      <c r="M21">
        <f ca="1"/>
        <v>3</v>
      </c>
    </row>
    <row r="22" spans="3:13" x14ac:dyDescent="0.3">
      <c r="C22" s="4" t="str">
        <f ca="1"/>
        <v>Kulbhushan Moorthy</v>
      </c>
      <c r="D22" t="str">
        <f ca="1"/>
        <v>Male</v>
      </c>
      <c r="E22" t="str">
        <f ca="1"/>
        <v>Finance</v>
      </c>
      <c r="F22">
        <f ca="1"/>
        <v>36</v>
      </c>
      <c r="G22">
        <f ca="1"/>
        <v>44272</v>
      </c>
      <c r="H22" s="4">
        <f ca="1"/>
        <v>71380</v>
      </c>
      <c r="I22" s="4" t="str">
        <f ca="1"/>
        <v>Average</v>
      </c>
      <c r="J22" t="str">
        <f ca="1"/>
        <v>India</v>
      </c>
      <c r="K22">
        <f ca="1"/>
        <v>5.3369863013698629</v>
      </c>
      <c r="L22">
        <f ca="1"/>
        <v>2142</v>
      </c>
      <c r="M22">
        <f ca="1"/>
        <v>3</v>
      </c>
    </row>
    <row r="23" spans="3:13" x14ac:dyDescent="0.3">
      <c r="C23" s="4" t="str">
        <f ca="1"/>
        <v>Shayne Stegel</v>
      </c>
      <c r="D23" t="str">
        <f ca="1"/>
        <v>Male</v>
      </c>
      <c r="E23" t="str">
        <f ca="1"/>
        <v>Finance</v>
      </c>
      <c r="F23">
        <f ca="1"/>
        <v>42</v>
      </c>
      <c r="G23">
        <f ca="1"/>
        <v>44731</v>
      </c>
      <c r="H23" s="4">
        <f ca="1"/>
        <v>70270</v>
      </c>
      <c r="I23" s="4" t="str">
        <f ca="1"/>
        <v>Poor</v>
      </c>
      <c r="J23" t="str">
        <f ca="1"/>
        <v>nz</v>
      </c>
      <c r="K23">
        <f ca="1"/>
        <v>4.0794520547945208</v>
      </c>
      <c r="L23">
        <f ca="1"/>
        <v>2109</v>
      </c>
      <c r="M23">
        <f ca="1"/>
        <v>2</v>
      </c>
    </row>
    <row r="24" spans="3:13" x14ac:dyDescent="0.3">
      <c r="C24" s="4" t="str">
        <f ca="1"/>
        <v>Chandana Sannidhi Surnilla</v>
      </c>
      <c r="D24" t="str">
        <f ca="1"/>
        <v>Male</v>
      </c>
      <c r="E24" t="str">
        <f ca="1"/>
        <v>Finance</v>
      </c>
      <c r="F24">
        <f ca="1"/>
        <v>42</v>
      </c>
      <c r="G24">
        <f ca="1"/>
        <v>44670</v>
      </c>
      <c r="H24" s="4">
        <f ca="1"/>
        <v>70270</v>
      </c>
      <c r="I24" s="4" t="str">
        <f ca="1"/>
        <v>Poor</v>
      </c>
      <c r="J24" t="str">
        <f ca="1"/>
        <v>India</v>
      </c>
      <c r="K24">
        <f ca="1"/>
        <v>4.2465753424657535</v>
      </c>
      <c r="L24">
        <f ca="1"/>
        <v>2109</v>
      </c>
      <c r="M24">
        <f ca="1"/>
        <v>2</v>
      </c>
    </row>
    <row r="25" spans="3:13" x14ac:dyDescent="0.3">
      <c r="C25" s="4" t="str">
        <f ca="1"/>
        <v>Husein Augar</v>
      </c>
      <c r="D25" t="str">
        <f ca="1"/>
        <v>Female</v>
      </c>
      <c r="E25" t="str">
        <f ca="1"/>
        <v>Finance</v>
      </c>
      <c r="F25">
        <f ca="1"/>
        <v>30</v>
      </c>
      <c r="G25">
        <f ca="1"/>
        <v>44389</v>
      </c>
      <c r="H25" s="4">
        <f ca="1"/>
        <v>67910</v>
      </c>
      <c r="I25" s="4" t="str">
        <f ca="1"/>
        <v>Poor</v>
      </c>
      <c r="J25" t="str">
        <f ca="1"/>
        <v>nz</v>
      </c>
      <c r="K25">
        <f ca="1"/>
        <v>5.0164383561643833</v>
      </c>
      <c r="L25">
        <f ca="1"/>
        <v>2038</v>
      </c>
      <c r="M25">
        <f ca="1"/>
        <v>2</v>
      </c>
    </row>
    <row r="26" spans="3:13" x14ac:dyDescent="0.3">
      <c r="C26" s="4" t="str">
        <f ca="1"/>
        <v>Kantimoy Pritish</v>
      </c>
      <c r="D26" t="str">
        <f ca="1"/>
        <v>Female</v>
      </c>
      <c r="E26" t="str">
        <f ca="1"/>
        <v>Finance</v>
      </c>
      <c r="F26">
        <f ca="1"/>
        <v>30</v>
      </c>
      <c r="G26">
        <f ca="1"/>
        <v>44328</v>
      </c>
      <c r="H26" s="4">
        <f ca="1"/>
        <v>67910</v>
      </c>
      <c r="I26" s="4" t="str">
        <f ca="1"/>
        <v>Poor</v>
      </c>
      <c r="J26" t="str">
        <f ca="1"/>
        <v>India</v>
      </c>
      <c r="K26">
        <f ca="1"/>
        <v>5.183561643835616</v>
      </c>
      <c r="L26">
        <f ca="1"/>
        <v>2038</v>
      </c>
      <c r="M26">
        <f ca="1"/>
        <v>2</v>
      </c>
    </row>
    <row r="27" spans="3:13" x14ac:dyDescent="0.3">
      <c r="C27" s="4" t="str">
        <f ca="1"/>
        <v>Marney O'Breen</v>
      </c>
      <c r="D27" t="str">
        <f ca="1"/>
        <v>Female</v>
      </c>
      <c r="E27" t="str">
        <f ca="1"/>
        <v>Finance</v>
      </c>
      <c r="F27">
        <f ca="1"/>
        <v>21</v>
      </c>
      <c r="G27">
        <f ca="1"/>
        <v>44317</v>
      </c>
      <c r="H27" s="4">
        <f ca="1"/>
        <v>65920</v>
      </c>
      <c r="I27" s="4" t="str">
        <f ca="1"/>
        <v>Average</v>
      </c>
      <c r="J27" t="str">
        <f ca="1"/>
        <v>nz</v>
      </c>
      <c r="K27">
        <f ca="1"/>
        <v>5.2136986301369861</v>
      </c>
      <c r="L27">
        <f ca="1"/>
        <v>1978</v>
      </c>
      <c r="M27">
        <f ca="1"/>
        <v>3</v>
      </c>
    </row>
    <row r="28" spans="3:13" x14ac:dyDescent="0.3">
      <c r="C28" s="4" t="str">
        <f ca="1"/>
        <v>Agrata Rajarama</v>
      </c>
      <c r="D28" t="str">
        <f ca="1"/>
        <v>Female</v>
      </c>
      <c r="E28" t="str">
        <f ca="1"/>
        <v>Finance</v>
      </c>
      <c r="F28">
        <f ca="1"/>
        <v>21</v>
      </c>
      <c r="G28">
        <f ca="1"/>
        <v>44256</v>
      </c>
      <c r="H28" s="4">
        <f ca="1"/>
        <v>65920</v>
      </c>
      <c r="I28" s="4" t="str">
        <f ca="1"/>
        <v>Average</v>
      </c>
      <c r="J28" t="str">
        <f ca="1"/>
        <v>India</v>
      </c>
      <c r="K28">
        <f ca="1"/>
        <v>5.3808219178082188</v>
      </c>
      <c r="L28">
        <f ca="1"/>
        <v>1978</v>
      </c>
      <c r="M28">
        <f ca="1"/>
        <v>3</v>
      </c>
    </row>
    <row r="29" spans="3:13" x14ac:dyDescent="0.3">
      <c r="C29" s="4" t="str">
        <f ca="1"/>
        <v>Teressa Udden</v>
      </c>
      <c r="D29" t="str">
        <f ca="1"/>
        <v>Female</v>
      </c>
      <c r="E29" t="str">
        <f ca="1"/>
        <v>Finance</v>
      </c>
      <c r="F29">
        <f ca="1"/>
        <v>33</v>
      </c>
      <c r="G29">
        <f ca="1"/>
        <v>44067</v>
      </c>
      <c r="H29" s="4">
        <f ca="1"/>
        <v>65360</v>
      </c>
      <c r="I29" s="4" t="str">
        <f ca="1"/>
        <v>Average</v>
      </c>
      <c r="J29" t="str">
        <f ca="1"/>
        <v>nz</v>
      </c>
      <c r="K29">
        <f ca="1"/>
        <v>5.8986301369863012</v>
      </c>
      <c r="L29">
        <f ca="1"/>
        <v>1961</v>
      </c>
      <c r="M29">
        <f ca="1"/>
        <v>3</v>
      </c>
    </row>
    <row r="30" spans="3:13" x14ac:dyDescent="0.3">
      <c r="C30" s="4" t="str">
        <f ca="1"/>
        <v>Kevalkumar Solanki</v>
      </c>
      <c r="D30" t="str">
        <f ca="1"/>
        <v>Female</v>
      </c>
      <c r="E30" t="str">
        <f ca="1"/>
        <v>Finance</v>
      </c>
      <c r="F30">
        <f ca="1"/>
        <v>33</v>
      </c>
      <c r="G30">
        <f ca="1"/>
        <v>44006</v>
      </c>
      <c r="H30" s="4">
        <f ca="1"/>
        <v>65360</v>
      </c>
      <c r="I30" s="4" t="str">
        <f ca="1"/>
        <v>Average</v>
      </c>
      <c r="J30" t="str">
        <f ca="1"/>
        <v>India</v>
      </c>
      <c r="K30">
        <f ca="1"/>
        <v>6.065753424657534</v>
      </c>
      <c r="L30">
        <f ca="1"/>
        <v>1961</v>
      </c>
      <c r="M30">
        <f ca="1"/>
        <v>3</v>
      </c>
    </row>
    <row r="31" spans="3:13" x14ac:dyDescent="0.3">
      <c r="C31" s="4" t="str">
        <f ca="1"/>
        <v>Curtice Advani</v>
      </c>
      <c r="D31" t="str">
        <f ca="1"/>
        <v>other</v>
      </c>
      <c r="E31" t="str">
        <f ca="1"/>
        <v>Finance</v>
      </c>
      <c r="F31">
        <f ca="1"/>
        <v>30</v>
      </c>
      <c r="G31">
        <f ca="1"/>
        <v>44597</v>
      </c>
      <c r="H31" s="4">
        <f ca="1"/>
        <v>64000</v>
      </c>
      <c r="I31" s="4" t="str">
        <f ca="1"/>
        <v>Average</v>
      </c>
      <c r="J31" t="str">
        <f ca="1"/>
        <v>nz</v>
      </c>
      <c r="K31">
        <f ca="1"/>
        <v>4.4465753424657537</v>
      </c>
      <c r="L31">
        <f ca="1"/>
        <v>1920</v>
      </c>
      <c r="M31">
        <f ca="1"/>
        <v>3</v>
      </c>
    </row>
    <row r="32" spans="3:13" x14ac:dyDescent="0.3">
      <c r="C32" s="4" t="str">
        <f ca="1"/>
        <v>Upendra Swati</v>
      </c>
      <c r="D32" t="str">
        <f ca="1"/>
        <v>other</v>
      </c>
      <c r="E32" t="str">
        <f ca="1"/>
        <v>Finance</v>
      </c>
      <c r="F32">
        <f ca="1"/>
        <v>30</v>
      </c>
      <c r="G32">
        <f ca="1"/>
        <v>44535</v>
      </c>
      <c r="H32" s="4">
        <f ca="1"/>
        <v>64000</v>
      </c>
      <c r="I32" s="4" t="str">
        <f ca="1"/>
        <v>Average</v>
      </c>
      <c r="J32" t="str">
        <f ca="1"/>
        <v>India</v>
      </c>
      <c r="K32">
        <f ca="1"/>
        <v>4.6164383561643838</v>
      </c>
      <c r="L32">
        <f ca="1"/>
        <v>1920</v>
      </c>
      <c r="M32">
        <f ca="1"/>
        <v>3</v>
      </c>
    </row>
    <row r="33" spans="3:13" x14ac:dyDescent="0.3">
      <c r="C33" s="4" t="str">
        <f ca="1"/>
        <v>Jehu Rudeforth</v>
      </c>
      <c r="D33" t="str">
        <f ca="1"/>
        <v>Female</v>
      </c>
      <c r="E33" t="str">
        <f ca="1"/>
        <v>Finance</v>
      </c>
      <c r="F33">
        <f ca="1"/>
        <v>34</v>
      </c>
      <c r="G33">
        <f ca="1"/>
        <v>44612</v>
      </c>
      <c r="H33" s="4">
        <f ca="1"/>
        <v>60130</v>
      </c>
      <c r="I33" s="4" t="str">
        <f ca="1"/>
        <v>Average</v>
      </c>
      <c r="J33" t="str">
        <f ca="1"/>
        <v>nz</v>
      </c>
      <c r="K33">
        <f ca="1"/>
        <v>4.4054794520547942</v>
      </c>
      <c r="L33">
        <f ca="1"/>
        <v>1804</v>
      </c>
      <c r="M33">
        <f ca="1"/>
        <v>3</v>
      </c>
    </row>
    <row r="34" spans="3:13" x14ac:dyDescent="0.3">
      <c r="C34" s="4" t="str">
        <f ca="1"/>
        <v>Lalit Kothari</v>
      </c>
      <c r="D34" t="str">
        <f ca="1"/>
        <v>Female</v>
      </c>
      <c r="E34" t="str">
        <f ca="1"/>
        <v>Finance</v>
      </c>
      <c r="F34">
        <f ca="1"/>
        <v>34</v>
      </c>
      <c r="G34">
        <f ca="1"/>
        <v>44550</v>
      </c>
      <c r="H34" s="4">
        <f ca="1"/>
        <v>60130</v>
      </c>
      <c r="I34" s="4" t="str">
        <f ca="1"/>
        <v>Average</v>
      </c>
      <c r="J34" t="str">
        <f ca="1"/>
        <v>India</v>
      </c>
      <c r="K34">
        <f ca="1"/>
        <v>4.5753424657534243</v>
      </c>
      <c r="L34">
        <f ca="1"/>
        <v>1804</v>
      </c>
      <c r="M34">
        <f ca="1"/>
        <v>3</v>
      </c>
    </row>
    <row r="35" spans="3:13" x14ac:dyDescent="0.3">
      <c r="C35" s="4" t="str">
        <f ca="1"/>
        <v>My Hanscome</v>
      </c>
      <c r="D35" t="str">
        <f ca="1"/>
        <v>Male</v>
      </c>
      <c r="E35" t="str">
        <f ca="1"/>
        <v>Finance</v>
      </c>
      <c r="F35">
        <f ca="1"/>
        <v>33</v>
      </c>
      <c r="G35">
        <f ca="1"/>
        <v>44243</v>
      </c>
      <c r="H35" s="4">
        <f ca="1"/>
        <v>59430</v>
      </c>
      <c r="I35" s="4" t="str">
        <f ca="1"/>
        <v>Average</v>
      </c>
      <c r="J35" t="str">
        <f ca="1"/>
        <v>nz</v>
      </c>
      <c r="K35">
        <f ca="1"/>
        <v>5.4164383561643836</v>
      </c>
      <c r="L35">
        <f ca="1"/>
        <v>1783</v>
      </c>
      <c r="M35">
        <f ca="1"/>
        <v>3</v>
      </c>
    </row>
    <row r="36" spans="3:13" x14ac:dyDescent="0.3">
      <c r="C36" s="4" t="str">
        <f ca="1"/>
        <v>Asija Pothireddy</v>
      </c>
      <c r="D36" t="str">
        <f ca="1"/>
        <v>Male</v>
      </c>
      <c r="E36" t="str">
        <f ca="1"/>
        <v>Finance</v>
      </c>
      <c r="F36">
        <f ca="1"/>
        <v>33</v>
      </c>
      <c r="G36">
        <f ca="1"/>
        <v>44181</v>
      </c>
      <c r="H36" s="4">
        <f ca="1"/>
        <v>59430</v>
      </c>
      <c r="I36" s="4" t="str">
        <f ca="1"/>
        <v>Average</v>
      </c>
      <c r="J36" t="str">
        <f ca="1"/>
        <v>India</v>
      </c>
      <c r="K36">
        <f ca="1"/>
        <v>5.5863013698630137</v>
      </c>
      <c r="L36">
        <f ca="1"/>
        <v>1783</v>
      </c>
      <c r="M36">
        <f ca="1"/>
        <v>3</v>
      </c>
    </row>
    <row r="37" spans="3:13" x14ac:dyDescent="0.3">
      <c r="C37" s="4" t="str">
        <f ca="1"/>
        <v>Oby Sorrel</v>
      </c>
      <c r="D37" t="str">
        <f ca="1"/>
        <v>Female</v>
      </c>
      <c r="E37" t="str">
        <f ca="1"/>
        <v>Finance</v>
      </c>
      <c r="F37">
        <f ca="1"/>
        <v>34</v>
      </c>
      <c r="G37">
        <f ca="1"/>
        <v>44653</v>
      </c>
      <c r="H37" s="4">
        <f ca="1"/>
        <v>58940</v>
      </c>
      <c r="I37" s="4" t="str">
        <f ca="1"/>
        <v>Average</v>
      </c>
      <c r="J37" t="str">
        <f ca="1"/>
        <v>nz</v>
      </c>
      <c r="K37">
        <f ca="1"/>
        <v>4.2931506849315069</v>
      </c>
      <c r="L37">
        <f ca="1"/>
        <v>1769</v>
      </c>
      <c r="M37">
        <f ca="1"/>
        <v>3</v>
      </c>
    </row>
    <row r="38" spans="3:13" x14ac:dyDescent="0.3">
      <c r="C38" s="4" t="str">
        <f ca="1"/>
        <v>Krittika Gaekwad</v>
      </c>
      <c r="D38" t="str">
        <f ca="1"/>
        <v>Female</v>
      </c>
      <c r="E38" t="str">
        <f ca="1"/>
        <v>Finance</v>
      </c>
      <c r="F38">
        <f ca="1"/>
        <v>34</v>
      </c>
      <c r="G38">
        <f ca="1"/>
        <v>44594</v>
      </c>
      <c r="H38" s="4">
        <f ca="1"/>
        <v>58940</v>
      </c>
      <c r="I38" s="4" t="str">
        <f ca="1"/>
        <v>Average</v>
      </c>
      <c r="J38" t="str">
        <f ca="1"/>
        <v>India</v>
      </c>
      <c r="K38">
        <f ca="1"/>
        <v>4.4547945205479449</v>
      </c>
      <c r="L38">
        <f ca="1"/>
        <v>1769</v>
      </c>
      <c r="M38">
        <f ca="1"/>
        <v>3</v>
      </c>
    </row>
    <row r="39" spans="3:13" x14ac:dyDescent="0.3">
      <c r="C39" s="4" t="str">
        <f ca="1"/>
        <v>Kaye Crocroft</v>
      </c>
      <c r="D39" t="str">
        <f ca="1"/>
        <v>Male</v>
      </c>
      <c r="E39" t="str">
        <f ca="1"/>
        <v>Finance</v>
      </c>
      <c r="F39">
        <f ca="1"/>
        <v>24</v>
      </c>
      <c r="G39">
        <f ca="1"/>
        <v>44436</v>
      </c>
      <c r="H39" s="4">
        <f ca="1"/>
        <v>52610</v>
      </c>
      <c r="I39" s="4" t="str">
        <f ca="1"/>
        <v>Poor</v>
      </c>
      <c r="J39" t="str">
        <f ca="1"/>
        <v>nz</v>
      </c>
      <c r="K39">
        <f ca="1"/>
        <v>4.8876712328767127</v>
      </c>
      <c r="L39">
        <f ca="1"/>
        <v>1579</v>
      </c>
      <c r="M39">
        <f ca="1"/>
        <v>2</v>
      </c>
    </row>
    <row r="40" spans="3:13" x14ac:dyDescent="0.3">
      <c r="C40" s="4" t="str">
        <f ca="1"/>
        <v>Gumwant Veera</v>
      </c>
      <c r="D40" t="str">
        <f ca="1"/>
        <v>Male</v>
      </c>
      <c r="E40" t="str">
        <f ca="1"/>
        <v>Finance</v>
      </c>
      <c r="F40">
        <f ca="1"/>
        <v>24</v>
      </c>
      <c r="G40">
        <f ca="1"/>
        <v>44375</v>
      </c>
      <c r="H40" s="4">
        <f ca="1"/>
        <v>52610</v>
      </c>
      <c r="I40" s="4" t="str">
        <f ca="1"/>
        <v>Poor</v>
      </c>
      <c r="J40" t="str">
        <f ca="1"/>
        <v>India</v>
      </c>
      <c r="K40">
        <f ca="1"/>
        <v>5.0547945205479454</v>
      </c>
      <c r="L40">
        <f ca="1"/>
        <v>1579</v>
      </c>
      <c r="M40">
        <f ca="1"/>
        <v>2</v>
      </c>
    </row>
    <row r="41" spans="3:13" x14ac:dyDescent="0.3">
      <c r="C41" s="4" t="str">
        <f ca="1"/>
        <v>Esmaria Denecamp</v>
      </c>
      <c r="D41" t="str">
        <f ca="1"/>
        <v>Male</v>
      </c>
      <c r="E41" t="str">
        <f ca="1"/>
        <v>Finance</v>
      </c>
      <c r="F41">
        <f ca="1"/>
        <v>27</v>
      </c>
      <c r="G41">
        <f ca="1"/>
        <v>44567</v>
      </c>
      <c r="H41" s="4">
        <f ca="1"/>
        <v>48980</v>
      </c>
      <c r="I41" s="4" t="str">
        <f ca="1"/>
        <v>Average</v>
      </c>
      <c r="J41" t="str">
        <f ca="1"/>
        <v>nz</v>
      </c>
      <c r="K41">
        <f ca="1"/>
        <v>4.5287671232876709</v>
      </c>
      <c r="L41">
        <f ca="1"/>
        <v>1470</v>
      </c>
      <c r="M41">
        <f ca="1"/>
        <v>3</v>
      </c>
    </row>
    <row r="42" spans="3:13" x14ac:dyDescent="0.3">
      <c r="C42" s="4" t="str">
        <f ca="1"/>
        <v>Vanmala Shriharsha</v>
      </c>
      <c r="D42" t="str">
        <f ca="1"/>
        <v>Male</v>
      </c>
      <c r="E42" t="str">
        <f ca="1"/>
        <v>Finance</v>
      </c>
      <c r="F42">
        <f ca="1"/>
        <v>27</v>
      </c>
      <c r="G42">
        <f ca="1"/>
        <v>44506</v>
      </c>
      <c r="H42" s="4">
        <f ca="1"/>
        <v>48980</v>
      </c>
      <c r="I42" s="4" t="str">
        <f ca="1"/>
        <v>Average</v>
      </c>
      <c r="J42" t="str">
        <f ca="1"/>
        <v>India</v>
      </c>
      <c r="K42">
        <f ca="1"/>
        <v>4.6958904109589037</v>
      </c>
      <c r="L42">
        <f ca="1"/>
        <v>1470</v>
      </c>
      <c r="M42">
        <f ca="1"/>
        <v>3</v>
      </c>
    </row>
    <row r="43" spans="3:13" x14ac:dyDescent="0.3">
      <c r="C43" s="4" t="str">
        <f ca="1"/>
        <v>Jan Morforth</v>
      </c>
      <c r="D43" t="str">
        <f ca="1"/>
        <v>Male</v>
      </c>
      <c r="E43" t="str">
        <f ca="1"/>
        <v>Finance</v>
      </c>
      <c r="F43">
        <f ca="1"/>
        <v>28</v>
      </c>
      <c r="G43">
        <f ca="1"/>
        <v>44041</v>
      </c>
      <c r="H43" s="4">
        <f ca="1"/>
        <v>48170</v>
      </c>
      <c r="I43" s="4" t="str">
        <f ca="1"/>
        <v>Above average</v>
      </c>
      <c r="J43" t="str">
        <f ca="1"/>
        <v>nz</v>
      </c>
      <c r="K43">
        <f ca="1"/>
        <v>5.9698630136986299</v>
      </c>
      <c r="L43">
        <f ca="1"/>
        <v>1446</v>
      </c>
      <c r="M43">
        <f ca="1"/>
        <v>4</v>
      </c>
    </row>
    <row r="44" spans="3:13" x14ac:dyDescent="0.3">
      <c r="C44" s="4" t="str">
        <f ca="1"/>
        <v>Ardhendu Abhichandra Jayakar</v>
      </c>
      <c r="D44" t="str">
        <f ca="1"/>
        <v>Male</v>
      </c>
      <c r="E44" t="str">
        <f ca="1"/>
        <v>Finance</v>
      </c>
      <c r="F44">
        <f ca="1"/>
        <v>28</v>
      </c>
      <c r="G44">
        <f ca="1"/>
        <v>43980</v>
      </c>
      <c r="H44" s="4">
        <f ca="1"/>
        <v>48170</v>
      </c>
      <c r="I44" s="4" t="str">
        <f ca="1"/>
        <v>Above average</v>
      </c>
      <c r="J44" t="str">
        <f ca="1"/>
        <v>India</v>
      </c>
      <c r="K44">
        <f ca="1"/>
        <v>6.1369863013698627</v>
      </c>
      <c r="L44">
        <f ca="1"/>
        <v>1446</v>
      </c>
      <c r="M44">
        <f ca="1"/>
        <v>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D54AC-B13B-41E8-ADA9-82BBA21AC0FC}">
  <sheetPr>
    <tabColor theme="7" tint="0.59999389629810485"/>
  </sheetPr>
  <dimension ref="C8:F14"/>
  <sheetViews>
    <sheetView topLeftCell="B1" workbookViewId="0">
      <selection activeCell="F26" sqref="F26"/>
    </sheetView>
  </sheetViews>
  <sheetFormatPr defaultRowHeight="14.4" x14ac:dyDescent="0.3"/>
  <cols>
    <col min="3" max="3" width="16.21875" bestFit="1" customWidth="1"/>
    <col min="4" max="4" width="15.5546875" bestFit="1" customWidth="1"/>
    <col min="5" max="5" width="12" bestFit="1" customWidth="1"/>
    <col min="6" max="6" width="10.77734375" bestFit="1" customWidth="1"/>
    <col min="7" max="7" width="12" bestFit="1" customWidth="1"/>
    <col min="8" max="8" width="15.5546875" bestFit="1" customWidth="1"/>
    <col min="9" max="10" width="18.6640625" bestFit="1" customWidth="1"/>
  </cols>
  <sheetData>
    <row r="8" spans="3:6" x14ac:dyDescent="0.3">
      <c r="D8" s="27" t="s">
        <v>220</v>
      </c>
    </row>
    <row r="9" spans="3:6" x14ac:dyDescent="0.3">
      <c r="C9" s="27" t="s">
        <v>225</v>
      </c>
      <c r="D9" t="s">
        <v>8</v>
      </c>
      <c r="E9" t="s">
        <v>15</v>
      </c>
      <c r="F9" t="s">
        <v>221</v>
      </c>
    </row>
    <row r="10" spans="3:6" x14ac:dyDescent="0.3">
      <c r="C10" s="28" t="s">
        <v>222</v>
      </c>
      <c r="D10">
        <v>86</v>
      </c>
      <c r="E10">
        <v>89</v>
      </c>
      <c r="F10">
        <v>175</v>
      </c>
    </row>
    <row r="11" spans="3:6" x14ac:dyDescent="0.3">
      <c r="C11" s="28" t="s">
        <v>223</v>
      </c>
      <c r="D11" s="22">
        <v>31.406976744186046</v>
      </c>
      <c r="E11" s="22">
        <v>29.393258426966291</v>
      </c>
      <c r="F11" s="22">
        <v>30.382857142857144</v>
      </c>
    </row>
    <row r="12" spans="3:6" x14ac:dyDescent="0.3">
      <c r="C12" s="28" t="s">
        <v>226</v>
      </c>
      <c r="D12">
        <v>6732440</v>
      </c>
      <c r="E12">
        <v>6670880</v>
      </c>
      <c r="F12">
        <v>13403320</v>
      </c>
    </row>
    <row r="13" spans="3:6" x14ac:dyDescent="0.3">
      <c r="C13" s="28" t="s">
        <v>227</v>
      </c>
      <c r="D13">
        <v>78284.186046511633</v>
      </c>
      <c r="E13">
        <v>74953.707865168544</v>
      </c>
      <c r="F13">
        <v>76590.399999999994</v>
      </c>
    </row>
    <row r="14" spans="3:6" x14ac:dyDescent="0.3">
      <c r="C14" s="28" t="s">
        <v>228</v>
      </c>
      <c r="D14" s="21">
        <v>4.8983752787511952</v>
      </c>
      <c r="E14" s="21">
        <v>4.891396028936434</v>
      </c>
      <c r="F14" s="21">
        <v>4.8948258317025424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ACA6-AD2A-42AA-80A2-0244BF16DF4A}">
  <sheetPr>
    <tabColor theme="7" tint="0.59999389629810485"/>
  </sheetPr>
  <dimension ref="C4:Q89"/>
  <sheetViews>
    <sheetView topLeftCell="D1" workbookViewId="0">
      <selection activeCell="Q11" sqref="Q11"/>
    </sheetView>
  </sheetViews>
  <sheetFormatPr defaultRowHeight="14.4" x14ac:dyDescent="0.3"/>
  <cols>
    <col min="3" max="3" width="26.33203125" bestFit="1" customWidth="1"/>
    <col min="4" max="4" width="5.109375" bestFit="1" customWidth="1"/>
    <col min="5" max="5" width="11.5546875" bestFit="1" customWidth="1"/>
    <col min="6" max="6" width="3" bestFit="1" customWidth="1"/>
    <col min="7" max="7" width="6" bestFit="1" customWidth="1"/>
    <col min="8" max="8" width="7" bestFit="1" customWidth="1"/>
    <col min="9" max="9" width="13.109375" bestFit="1" customWidth="1"/>
    <col min="10" max="10" width="5" bestFit="1" customWidth="1"/>
    <col min="11" max="11" width="12" bestFit="1" customWidth="1"/>
    <col min="13" max="13" width="14.6640625" bestFit="1" customWidth="1"/>
    <col min="14" max="14" width="18" bestFit="1" customWidth="1"/>
    <col min="16" max="16" width="14.6640625" bestFit="1" customWidth="1"/>
    <col min="17" max="17" width="18.77734375" bestFit="1" customWidth="1"/>
  </cols>
  <sheetData>
    <row r="4" spans="3:17" x14ac:dyDescent="0.3">
      <c r="C4" t="str" cm="1">
        <f t="array" aca="1" ref="C4:M89" ca="1">_xlfn._xlws.FILTER(staff[],staff[Gender]= Q11)</f>
        <v>Gretchen Callow</v>
      </c>
      <c r="D4" t="str">
        <f ca="1"/>
        <v>Female</v>
      </c>
      <c r="E4" t="str">
        <f ca="1"/>
        <v>Website</v>
      </c>
      <c r="F4">
        <f ca="1"/>
        <v>21</v>
      </c>
      <c r="G4">
        <f ca="1"/>
        <v>44678</v>
      </c>
      <c r="H4">
        <f ca="1"/>
        <v>33920</v>
      </c>
      <c r="I4" t="str">
        <f ca="1"/>
        <v>Average</v>
      </c>
      <c r="J4" t="str">
        <f ca="1"/>
        <v>nz</v>
      </c>
      <c r="K4">
        <f ca="1"/>
        <v>4.2246575342465755</v>
      </c>
      <c r="L4">
        <f ca="1"/>
        <v>1018</v>
      </c>
      <c r="M4">
        <f ca="1"/>
        <v>3</v>
      </c>
    </row>
    <row r="5" spans="3:17" x14ac:dyDescent="0.3">
      <c r="C5" t="str">
        <f ca="1"/>
        <v>Shubhra Potla</v>
      </c>
      <c r="D5" t="str">
        <f ca="1"/>
        <v>Female</v>
      </c>
      <c r="E5" t="str">
        <f ca="1"/>
        <v>Website</v>
      </c>
      <c r="F5">
        <f ca="1"/>
        <v>21</v>
      </c>
      <c r="G5">
        <f ca="1"/>
        <v>44619</v>
      </c>
      <c r="H5">
        <f ca="1"/>
        <v>33920</v>
      </c>
      <c r="I5" t="str">
        <f ca="1"/>
        <v>Average</v>
      </c>
      <c r="J5" t="str">
        <f ca="1"/>
        <v>India</v>
      </c>
      <c r="K5">
        <f ca="1"/>
        <v>4.3863013698630136</v>
      </c>
      <c r="L5">
        <f ca="1"/>
        <v>1018</v>
      </c>
      <c r="M5">
        <f ca="1"/>
        <v>3</v>
      </c>
    </row>
    <row r="6" spans="3:17" x14ac:dyDescent="0.3">
      <c r="C6" t="str">
        <f ca="1"/>
        <v>Niall Selesnick</v>
      </c>
      <c r="D6" t="str">
        <f ca="1"/>
        <v>Female</v>
      </c>
      <c r="E6" t="str">
        <f ca="1"/>
        <v>Website</v>
      </c>
      <c r="F6">
        <f ca="1"/>
        <v>29</v>
      </c>
      <c r="G6">
        <f ca="1"/>
        <v>44023</v>
      </c>
      <c r="H6">
        <f ca="1"/>
        <v>34980</v>
      </c>
      <c r="I6" t="str">
        <f ca="1"/>
        <v>Average</v>
      </c>
      <c r="J6" t="str">
        <f ca="1"/>
        <v>nz</v>
      </c>
      <c r="K6">
        <f ca="1"/>
        <v>6.0191780821917806</v>
      </c>
      <c r="L6">
        <f ca="1"/>
        <v>1050</v>
      </c>
      <c r="M6">
        <f ca="1"/>
        <v>3</v>
      </c>
    </row>
    <row r="7" spans="3:17" x14ac:dyDescent="0.3">
      <c r="C7" t="str">
        <f ca="1"/>
        <v>Suchira Bhanupriya Tapti</v>
      </c>
      <c r="D7" t="str">
        <f ca="1"/>
        <v>Female</v>
      </c>
      <c r="E7" t="str">
        <f ca="1"/>
        <v>Website</v>
      </c>
      <c r="F7">
        <f ca="1"/>
        <v>29</v>
      </c>
      <c r="G7">
        <f ca="1"/>
        <v>43962</v>
      </c>
      <c r="H7">
        <f ca="1"/>
        <v>34980</v>
      </c>
      <c r="I7" t="str">
        <f ca="1"/>
        <v>Average</v>
      </c>
      <c r="J7" t="str">
        <f ca="1"/>
        <v>India</v>
      </c>
      <c r="K7">
        <f ca="1"/>
        <v>6.1863013698630134</v>
      </c>
      <c r="L7">
        <f ca="1"/>
        <v>1050</v>
      </c>
      <c r="M7">
        <f ca="1"/>
        <v>3</v>
      </c>
    </row>
    <row r="8" spans="3:17" x14ac:dyDescent="0.3">
      <c r="C8" t="str">
        <f ca="1"/>
        <v>Crissie Cordel</v>
      </c>
      <c r="D8" t="str">
        <f ca="1"/>
        <v>Female</v>
      </c>
      <c r="E8" t="str">
        <f ca="1"/>
        <v>Procurement</v>
      </c>
      <c r="F8">
        <f ca="1"/>
        <v>32</v>
      </c>
      <c r="G8">
        <f ca="1"/>
        <v>44611</v>
      </c>
      <c r="H8">
        <f ca="1"/>
        <v>41570</v>
      </c>
      <c r="I8" t="str">
        <f ca="1"/>
        <v>Average</v>
      </c>
      <c r="J8" t="str">
        <f ca="1"/>
        <v>nz</v>
      </c>
      <c r="K8">
        <f ca="1"/>
        <v>4.4082191780821915</v>
      </c>
      <c r="L8">
        <f ca="1"/>
        <v>1248</v>
      </c>
      <c r="M8">
        <f ca="1"/>
        <v>3</v>
      </c>
    </row>
    <row r="9" spans="3:17" x14ac:dyDescent="0.3">
      <c r="C9" t="str">
        <f ca="1"/>
        <v>Prerana Nishita</v>
      </c>
      <c r="D9" t="str">
        <f ca="1"/>
        <v>Female</v>
      </c>
      <c r="E9" t="str">
        <f ca="1"/>
        <v>Procurement</v>
      </c>
      <c r="F9">
        <f ca="1"/>
        <v>32</v>
      </c>
      <c r="G9">
        <f ca="1"/>
        <v>44549</v>
      </c>
      <c r="H9">
        <f ca="1"/>
        <v>41570</v>
      </c>
      <c r="I9" t="str">
        <f ca="1"/>
        <v>Average</v>
      </c>
      <c r="J9" t="str">
        <f ca="1"/>
        <v>India</v>
      </c>
      <c r="K9">
        <f ca="1"/>
        <v>4.5780821917808217</v>
      </c>
      <c r="L9">
        <f ca="1"/>
        <v>1248</v>
      </c>
      <c r="M9">
        <f ca="1"/>
        <v>3</v>
      </c>
    </row>
    <row r="10" spans="3:17" x14ac:dyDescent="0.3">
      <c r="C10" t="str">
        <f ca="1"/>
        <v>Dotty Strutley</v>
      </c>
      <c r="D10" t="str">
        <f ca="1"/>
        <v>Female</v>
      </c>
      <c r="E10" t="str">
        <f ca="1"/>
        <v>Website</v>
      </c>
      <c r="F10">
        <f ca="1"/>
        <v>31</v>
      </c>
      <c r="G10">
        <f ca="1"/>
        <v>44145</v>
      </c>
      <c r="H10">
        <f ca="1"/>
        <v>41980</v>
      </c>
      <c r="I10" t="str">
        <f ca="1"/>
        <v>Average</v>
      </c>
      <c r="J10" t="str">
        <f ca="1"/>
        <v>nz</v>
      </c>
      <c r="K10">
        <f ca="1"/>
        <v>5.6849315068493151</v>
      </c>
      <c r="L10">
        <f ca="1"/>
        <v>1260</v>
      </c>
      <c r="M10">
        <f ca="1"/>
        <v>3</v>
      </c>
      <c r="Q10" s="26" t="s">
        <v>267</v>
      </c>
    </row>
    <row r="11" spans="3:17" ht="15.6" x14ac:dyDescent="0.3">
      <c r="C11" t="str">
        <f ca="1"/>
        <v>Jagajeet Viraj</v>
      </c>
      <c r="D11" t="str">
        <f ca="1"/>
        <v>Female</v>
      </c>
      <c r="E11" t="str">
        <f ca="1"/>
        <v>Website</v>
      </c>
      <c r="F11">
        <f ca="1"/>
        <v>31</v>
      </c>
      <c r="G11">
        <f ca="1"/>
        <v>44084</v>
      </c>
      <c r="H11">
        <f ca="1"/>
        <v>41980</v>
      </c>
      <c r="I11" t="str">
        <f ca="1"/>
        <v>Average</v>
      </c>
      <c r="J11" t="str">
        <f ca="1"/>
        <v>India</v>
      </c>
      <c r="K11">
        <f ca="1"/>
        <v>5.8520547945205479</v>
      </c>
      <c r="L11">
        <f ca="1"/>
        <v>1260</v>
      </c>
      <c r="M11">
        <f ca="1"/>
        <v>3</v>
      </c>
      <c r="P11" s="23" t="s">
        <v>214</v>
      </c>
      <c r="Q11" s="24" t="s">
        <v>219</v>
      </c>
    </row>
    <row r="12" spans="3:17" ht="15.6" x14ac:dyDescent="0.3">
      <c r="C12" t="str">
        <f ca="1"/>
        <v>Kassi Jonson</v>
      </c>
      <c r="D12" t="str">
        <f ca="1"/>
        <v>Female</v>
      </c>
      <c r="E12" t="str">
        <f ca="1"/>
        <v>Website</v>
      </c>
      <c r="F12">
        <f ca="1"/>
        <v>32</v>
      </c>
      <c r="G12">
        <f ca="1"/>
        <v>44354</v>
      </c>
      <c r="H12">
        <f ca="1"/>
        <v>43840</v>
      </c>
      <c r="I12" t="str">
        <f ca="1"/>
        <v>Above average</v>
      </c>
      <c r="J12" t="str">
        <f ca="1"/>
        <v>nz</v>
      </c>
      <c r="K12">
        <f ca="1"/>
        <v>5.1123287671232873</v>
      </c>
      <c r="L12">
        <f ca="1"/>
        <v>1316</v>
      </c>
      <c r="M12">
        <f ca="1"/>
        <v>4</v>
      </c>
      <c r="P12" s="23" t="s">
        <v>215</v>
      </c>
      <c r="Q12" s="24">
        <f ca="1">COUNTIF(staff[],Q11)</f>
        <v>86</v>
      </c>
    </row>
    <row r="13" spans="3:17" ht="15.6" x14ac:dyDescent="0.3">
      <c r="C13" t="str">
        <f ca="1"/>
        <v>Yagna Sujeev</v>
      </c>
      <c r="D13" t="str">
        <f ca="1"/>
        <v>Female</v>
      </c>
      <c r="E13" t="str">
        <f ca="1"/>
        <v>Website</v>
      </c>
      <c r="F13">
        <f ca="1"/>
        <v>32</v>
      </c>
      <c r="G13">
        <f ca="1"/>
        <v>44293</v>
      </c>
      <c r="H13">
        <f ca="1"/>
        <v>43840</v>
      </c>
      <c r="I13" t="str">
        <f ca="1"/>
        <v>Above average</v>
      </c>
      <c r="J13" t="str">
        <f ca="1"/>
        <v>India</v>
      </c>
      <c r="K13">
        <f ca="1"/>
        <v>5.279452054794521</v>
      </c>
      <c r="L13">
        <f ca="1"/>
        <v>1316</v>
      </c>
      <c r="M13">
        <f ca="1"/>
        <v>4</v>
      </c>
      <c r="P13" s="23" t="s">
        <v>216</v>
      </c>
      <c r="Q13" s="24">
        <f>_xlfn.MAXIFS(staff[Salary],staff[Gender],Q11)</f>
        <v>119110</v>
      </c>
    </row>
    <row r="14" spans="3:17" ht="15.6" x14ac:dyDescent="0.3">
      <c r="C14" t="str">
        <f ca="1"/>
        <v>Florinda Crace</v>
      </c>
      <c r="D14" t="str">
        <f ca="1"/>
        <v>Female</v>
      </c>
      <c r="E14" t="str">
        <f ca="1"/>
        <v>HR</v>
      </c>
      <c r="F14">
        <f ca="1"/>
        <v>32</v>
      </c>
      <c r="G14">
        <f ca="1"/>
        <v>44400</v>
      </c>
      <c r="H14">
        <f ca="1"/>
        <v>45510</v>
      </c>
      <c r="I14" t="str">
        <f ca="1"/>
        <v>Average</v>
      </c>
      <c r="J14" t="str">
        <f ca="1"/>
        <v>nz</v>
      </c>
      <c r="K14">
        <f ca="1"/>
        <v>4.9863013698630141</v>
      </c>
      <c r="L14">
        <f ca="1"/>
        <v>1366</v>
      </c>
      <c r="M14">
        <f ca="1"/>
        <v>3</v>
      </c>
      <c r="P14" s="23" t="s">
        <v>217</v>
      </c>
      <c r="Q14" s="24">
        <f>AVERAGEIFS(staff[Salary],staff[Gender],Q11)</f>
        <v>78284.186046511633</v>
      </c>
    </row>
    <row r="15" spans="3:17" ht="15.6" x14ac:dyDescent="0.3">
      <c r="C15" t="str">
        <f ca="1"/>
        <v>Madhavdas Buhpathi</v>
      </c>
      <c r="D15" t="str">
        <f ca="1"/>
        <v>Female</v>
      </c>
      <c r="E15" t="str">
        <f ca="1"/>
        <v>HR</v>
      </c>
      <c r="F15">
        <f ca="1"/>
        <v>32</v>
      </c>
      <c r="G15">
        <f ca="1"/>
        <v>44339</v>
      </c>
      <c r="H15">
        <f ca="1"/>
        <v>45510</v>
      </c>
      <c r="I15" t="str">
        <f ca="1"/>
        <v>Average</v>
      </c>
      <c r="J15" t="str">
        <f ca="1"/>
        <v>India</v>
      </c>
      <c r="K15">
        <f ca="1"/>
        <v>5.1534246575342468</v>
      </c>
      <c r="L15">
        <f ca="1"/>
        <v>1366</v>
      </c>
      <c r="M15">
        <f ca="1"/>
        <v>3</v>
      </c>
      <c r="P15" s="23" t="s">
        <v>218</v>
      </c>
      <c r="Q15" s="25">
        <f>AVERAGEIFS(staff[Age],staff[Gender],Q11)</f>
        <v>31.406976744186046</v>
      </c>
    </row>
    <row r="16" spans="3:17" x14ac:dyDescent="0.3">
      <c r="C16" t="str">
        <f ca="1"/>
        <v>Violante Courtonne</v>
      </c>
      <c r="D16" t="str">
        <f ca="1"/>
        <v>Female</v>
      </c>
      <c r="E16" t="str">
        <f ca="1"/>
        <v>Sales</v>
      </c>
      <c r="F16">
        <f ca="1"/>
        <v>34</v>
      </c>
      <c r="G16">
        <f ca="1"/>
        <v>44721</v>
      </c>
      <c r="H16">
        <f ca="1"/>
        <v>49630</v>
      </c>
      <c r="I16" t="str">
        <f ca="1"/>
        <v>Poor</v>
      </c>
      <c r="J16" t="str">
        <f ca="1"/>
        <v>nz</v>
      </c>
      <c r="K16">
        <f ca="1"/>
        <v>4.1068493150684935</v>
      </c>
      <c r="L16">
        <f ca="1"/>
        <v>1489</v>
      </c>
      <c r="M16">
        <f ca="1"/>
        <v>2</v>
      </c>
    </row>
    <row r="17" spans="3:13" x14ac:dyDescent="0.3">
      <c r="C17" t="str">
        <f ca="1"/>
        <v>Daruka Ghazali</v>
      </c>
      <c r="D17" t="str">
        <f ca="1"/>
        <v>Female</v>
      </c>
      <c r="E17" t="str">
        <f ca="1"/>
        <v>Sales</v>
      </c>
      <c r="F17">
        <f ca="1"/>
        <v>34</v>
      </c>
      <c r="G17">
        <f ca="1"/>
        <v>44660</v>
      </c>
      <c r="H17">
        <f ca="1"/>
        <v>49630</v>
      </c>
      <c r="I17" t="str">
        <f ca="1"/>
        <v>Poor</v>
      </c>
      <c r="J17" t="str">
        <f ca="1"/>
        <v>India</v>
      </c>
      <c r="K17">
        <f ca="1"/>
        <v>4.2739726027397262</v>
      </c>
      <c r="L17">
        <f ca="1"/>
        <v>1489</v>
      </c>
      <c r="M17">
        <f ca="1"/>
        <v>2</v>
      </c>
    </row>
    <row r="18" spans="3:13" x14ac:dyDescent="0.3">
      <c r="C18" t="str">
        <f ca="1"/>
        <v>Tatum Hush</v>
      </c>
      <c r="D18" t="str">
        <f ca="1"/>
        <v>Female</v>
      </c>
      <c r="E18" t="str">
        <f ca="1"/>
        <v>Sales</v>
      </c>
      <c r="F18">
        <f ca="1"/>
        <v>28</v>
      </c>
      <c r="G18">
        <f ca="1"/>
        <v>44357</v>
      </c>
      <c r="H18">
        <f ca="1"/>
        <v>53240</v>
      </c>
      <c r="I18" t="str">
        <f ca="1"/>
        <v>Average</v>
      </c>
      <c r="J18" t="str">
        <f ca="1"/>
        <v>nz</v>
      </c>
      <c r="K18">
        <f ca="1"/>
        <v>5.1041095890410961</v>
      </c>
      <c r="L18">
        <f ca="1"/>
        <v>1598</v>
      </c>
      <c r="M18">
        <f ca="1"/>
        <v>3</v>
      </c>
    </row>
    <row r="19" spans="3:13" x14ac:dyDescent="0.3">
      <c r="C19" t="str">
        <f ca="1"/>
        <v>Anumati Shyamari Meherhomji</v>
      </c>
      <c r="D19" t="str">
        <f ca="1"/>
        <v>Female</v>
      </c>
      <c r="E19" t="str">
        <f ca="1"/>
        <v>Sales</v>
      </c>
      <c r="F19">
        <f ca="1"/>
        <v>28</v>
      </c>
      <c r="G19">
        <f ca="1"/>
        <v>44296</v>
      </c>
      <c r="H19">
        <f ca="1"/>
        <v>53240</v>
      </c>
      <c r="I19" t="str">
        <f ca="1"/>
        <v>Average</v>
      </c>
      <c r="J19" t="str">
        <f ca="1"/>
        <v>India</v>
      </c>
      <c r="K19">
        <f ca="1"/>
        <v>5.2712328767123289</v>
      </c>
      <c r="L19">
        <f ca="1"/>
        <v>1598</v>
      </c>
      <c r="M19">
        <f ca="1"/>
        <v>3</v>
      </c>
    </row>
    <row r="20" spans="3:13" x14ac:dyDescent="0.3">
      <c r="C20" t="str">
        <f ca="1"/>
        <v>Oran Buxcy</v>
      </c>
      <c r="D20" t="str">
        <f ca="1"/>
        <v>Female</v>
      </c>
      <c r="E20" t="str">
        <f ca="1"/>
        <v>Sales</v>
      </c>
      <c r="F20">
        <f ca="1"/>
        <v>38</v>
      </c>
      <c r="G20">
        <f ca="1"/>
        <v>44329</v>
      </c>
      <c r="H20">
        <f ca="1"/>
        <v>56870</v>
      </c>
      <c r="I20" t="str">
        <f ca="1"/>
        <v>Above average</v>
      </c>
      <c r="J20" t="str">
        <f ca="1"/>
        <v>nz</v>
      </c>
      <c r="K20">
        <f ca="1"/>
        <v>5.1808219178082195</v>
      </c>
      <c r="L20">
        <f ca="1"/>
        <v>1707</v>
      </c>
      <c r="M20">
        <f ca="1"/>
        <v>4</v>
      </c>
    </row>
    <row r="21" spans="3:13" x14ac:dyDescent="0.3">
      <c r="C21" t="str">
        <f ca="1"/>
        <v>Mirium Seemantini Shivakumar</v>
      </c>
      <c r="D21" t="str">
        <f ca="1"/>
        <v>Female</v>
      </c>
      <c r="E21" t="str">
        <f ca="1"/>
        <v>Sales</v>
      </c>
      <c r="F21">
        <f ca="1"/>
        <v>38</v>
      </c>
      <c r="G21">
        <f ca="1"/>
        <v>44268</v>
      </c>
      <c r="H21">
        <f ca="1"/>
        <v>56870</v>
      </c>
      <c r="I21" t="str">
        <f ca="1"/>
        <v>Above average</v>
      </c>
      <c r="J21" t="str">
        <f ca="1"/>
        <v>India</v>
      </c>
      <c r="K21">
        <f ca="1"/>
        <v>5.3479452054794523</v>
      </c>
      <c r="L21">
        <f ca="1"/>
        <v>1707</v>
      </c>
      <c r="M21">
        <f ca="1"/>
        <v>4</v>
      </c>
    </row>
    <row r="22" spans="3:13" x14ac:dyDescent="0.3">
      <c r="C22" t="str">
        <f ca="1"/>
        <v>Brien Boise</v>
      </c>
      <c r="D22" t="str">
        <f ca="1"/>
        <v>Female</v>
      </c>
      <c r="E22" t="str">
        <f ca="1"/>
        <v>Website</v>
      </c>
      <c r="F22">
        <f ca="1"/>
        <v>31</v>
      </c>
      <c r="G22">
        <f ca="1"/>
        <v>44663</v>
      </c>
      <c r="H22">
        <f ca="1"/>
        <v>58100</v>
      </c>
      <c r="I22" t="str">
        <f ca="1"/>
        <v>Average</v>
      </c>
      <c r="J22" t="str">
        <f ca="1"/>
        <v>nz</v>
      </c>
      <c r="K22">
        <f ca="1"/>
        <v>4.2657534246575342</v>
      </c>
      <c r="L22">
        <f ca="1"/>
        <v>1743</v>
      </c>
      <c r="M22">
        <f ca="1"/>
        <v>3</v>
      </c>
    </row>
    <row r="23" spans="3:13" x14ac:dyDescent="0.3">
      <c r="C23" t="str">
        <f ca="1"/>
        <v>Pratigya Rema</v>
      </c>
      <c r="D23" t="str">
        <f ca="1"/>
        <v>Female</v>
      </c>
      <c r="E23" t="str">
        <f ca="1"/>
        <v>Website</v>
      </c>
      <c r="F23">
        <f ca="1"/>
        <v>31</v>
      </c>
      <c r="G23">
        <f ca="1"/>
        <v>44604</v>
      </c>
      <c r="H23">
        <f ca="1"/>
        <v>58100</v>
      </c>
      <c r="I23" t="str">
        <f ca="1"/>
        <v>Average</v>
      </c>
      <c r="J23" t="str">
        <f ca="1"/>
        <v>India</v>
      </c>
      <c r="K23">
        <f ca="1"/>
        <v>4.4273972602739722</v>
      </c>
      <c r="L23">
        <f ca="1"/>
        <v>1743</v>
      </c>
      <c r="M23">
        <f ca="1"/>
        <v>3</v>
      </c>
    </row>
    <row r="24" spans="3:13" x14ac:dyDescent="0.3">
      <c r="C24" t="str">
        <f ca="1"/>
        <v>Oby Sorrel</v>
      </c>
      <c r="D24" t="str">
        <f ca="1"/>
        <v>Female</v>
      </c>
      <c r="E24" t="str">
        <f ca="1"/>
        <v>Finance</v>
      </c>
      <c r="F24">
        <f ca="1"/>
        <v>34</v>
      </c>
      <c r="G24">
        <f ca="1"/>
        <v>44653</v>
      </c>
      <c r="H24">
        <f ca="1"/>
        <v>58940</v>
      </c>
      <c r="I24" t="str">
        <f ca="1"/>
        <v>Average</v>
      </c>
      <c r="J24" t="str">
        <f ca="1"/>
        <v>nz</v>
      </c>
      <c r="K24">
        <f ca="1"/>
        <v>4.2931506849315069</v>
      </c>
      <c r="L24">
        <f ca="1"/>
        <v>1769</v>
      </c>
      <c r="M24">
        <f ca="1"/>
        <v>3</v>
      </c>
    </row>
    <row r="25" spans="3:13" x14ac:dyDescent="0.3">
      <c r="C25" t="str">
        <f ca="1"/>
        <v>Krittika Gaekwad</v>
      </c>
      <c r="D25" t="str">
        <f ca="1"/>
        <v>Female</v>
      </c>
      <c r="E25" t="str">
        <f ca="1"/>
        <v>Finance</v>
      </c>
      <c r="F25">
        <f ca="1"/>
        <v>34</v>
      </c>
      <c r="G25">
        <f ca="1"/>
        <v>44594</v>
      </c>
      <c r="H25">
        <f ca="1"/>
        <v>58940</v>
      </c>
      <c r="I25" t="str">
        <f ca="1"/>
        <v>Average</v>
      </c>
      <c r="J25" t="str">
        <f ca="1"/>
        <v>India</v>
      </c>
      <c r="K25">
        <f ca="1"/>
        <v>4.4547945205479449</v>
      </c>
      <c r="L25">
        <f ca="1"/>
        <v>1769</v>
      </c>
      <c r="M25">
        <f ca="1"/>
        <v>3</v>
      </c>
    </row>
    <row r="26" spans="3:13" x14ac:dyDescent="0.3">
      <c r="C26" t="str">
        <f ca="1"/>
        <v>Jehu Rudeforth</v>
      </c>
      <c r="D26" t="str">
        <f ca="1"/>
        <v>Female</v>
      </c>
      <c r="E26" t="str">
        <f ca="1"/>
        <v>Finance</v>
      </c>
      <c r="F26">
        <f ca="1"/>
        <v>34</v>
      </c>
      <c r="G26">
        <f ca="1"/>
        <v>44612</v>
      </c>
      <c r="H26">
        <f ca="1"/>
        <v>60130</v>
      </c>
      <c r="I26" t="str">
        <f ca="1"/>
        <v>Average</v>
      </c>
      <c r="J26" t="str">
        <f ca="1"/>
        <v>nz</v>
      </c>
      <c r="K26">
        <f ca="1"/>
        <v>4.4054794520547942</v>
      </c>
      <c r="L26">
        <f ca="1"/>
        <v>1804</v>
      </c>
      <c r="M26">
        <f ca="1"/>
        <v>3</v>
      </c>
    </row>
    <row r="27" spans="3:13" x14ac:dyDescent="0.3">
      <c r="C27" t="str">
        <f ca="1"/>
        <v>Lalit Kothari</v>
      </c>
      <c r="D27" t="str">
        <f ca="1"/>
        <v>Female</v>
      </c>
      <c r="E27" t="str">
        <f ca="1"/>
        <v>Finance</v>
      </c>
      <c r="F27">
        <f ca="1"/>
        <v>34</v>
      </c>
      <c r="G27">
        <f ca="1"/>
        <v>44550</v>
      </c>
      <c r="H27">
        <f ca="1"/>
        <v>60130</v>
      </c>
      <c r="I27" t="str">
        <f ca="1"/>
        <v>Average</v>
      </c>
      <c r="J27" t="str">
        <f ca="1"/>
        <v>India</v>
      </c>
      <c r="K27">
        <f ca="1"/>
        <v>4.5753424657534243</v>
      </c>
      <c r="L27">
        <f ca="1"/>
        <v>1804</v>
      </c>
      <c r="M27">
        <f ca="1"/>
        <v>3</v>
      </c>
    </row>
    <row r="28" spans="3:13" x14ac:dyDescent="0.3">
      <c r="C28" t="str">
        <f ca="1"/>
        <v>Vic Radolf</v>
      </c>
      <c r="D28" t="str">
        <f ca="1"/>
        <v>Female</v>
      </c>
      <c r="E28" t="str">
        <f ca="1"/>
        <v>Website</v>
      </c>
      <c r="F28">
        <f ca="1"/>
        <v>24</v>
      </c>
      <c r="G28">
        <f ca="1"/>
        <v>44148</v>
      </c>
      <c r="H28">
        <f ca="1"/>
        <v>62780</v>
      </c>
      <c r="I28" t="str">
        <f ca="1"/>
        <v>Average</v>
      </c>
      <c r="J28" t="str">
        <f ca="1"/>
        <v>nz</v>
      </c>
      <c r="K28">
        <f ca="1"/>
        <v>5.6767123287671231</v>
      </c>
      <c r="L28">
        <f ca="1"/>
        <v>1884</v>
      </c>
      <c r="M28">
        <f ca="1"/>
        <v>3</v>
      </c>
    </row>
    <row r="29" spans="3:13" x14ac:dyDescent="0.3">
      <c r="C29" t="str">
        <f ca="1"/>
        <v>Fullara Sushanti Mokate</v>
      </c>
      <c r="D29" t="str">
        <f ca="1"/>
        <v>Female</v>
      </c>
      <c r="E29" t="str">
        <f ca="1"/>
        <v>Website</v>
      </c>
      <c r="F29">
        <f ca="1"/>
        <v>24</v>
      </c>
      <c r="G29">
        <f ca="1"/>
        <v>44087</v>
      </c>
      <c r="H29">
        <f ca="1"/>
        <v>62780</v>
      </c>
      <c r="I29" t="str">
        <f ca="1"/>
        <v>Average</v>
      </c>
      <c r="J29" t="str">
        <f ca="1"/>
        <v>India</v>
      </c>
      <c r="K29">
        <f ca="1"/>
        <v>5.8438356164383558</v>
      </c>
      <c r="L29">
        <f ca="1"/>
        <v>1884</v>
      </c>
      <c r="M29">
        <f ca="1"/>
        <v>3</v>
      </c>
    </row>
    <row r="30" spans="3:13" x14ac:dyDescent="0.3">
      <c r="C30" t="str">
        <f ca="1"/>
        <v>Teressa Udden</v>
      </c>
      <c r="D30" t="str">
        <f ca="1"/>
        <v>Female</v>
      </c>
      <c r="E30" t="str">
        <f ca="1"/>
        <v>Finance</v>
      </c>
      <c r="F30">
        <f ca="1"/>
        <v>33</v>
      </c>
      <c r="G30">
        <f ca="1"/>
        <v>44067</v>
      </c>
      <c r="H30">
        <f ca="1"/>
        <v>65360</v>
      </c>
      <c r="I30" t="str">
        <f ca="1"/>
        <v>Average</v>
      </c>
      <c r="J30" t="str">
        <f ca="1"/>
        <v>nz</v>
      </c>
      <c r="K30">
        <f ca="1"/>
        <v>5.8986301369863012</v>
      </c>
      <c r="L30">
        <f ca="1"/>
        <v>1961</v>
      </c>
      <c r="M30">
        <f ca="1"/>
        <v>3</v>
      </c>
    </row>
    <row r="31" spans="3:13" x14ac:dyDescent="0.3">
      <c r="C31" t="str">
        <f ca="1"/>
        <v>Kevalkumar Solanki</v>
      </c>
      <c r="D31" t="str">
        <f ca="1"/>
        <v>Female</v>
      </c>
      <c r="E31" t="str">
        <f ca="1"/>
        <v>Finance</v>
      </c>
      <c r="F31">
        <f ca="1"/>
        <v>33</v>
      </c>
      <c r="G31">
        <f ca="1"/>
        <v>44006</v>
      </c>
      <c r="H31">
        <f ca="1"/>
        <v>65360</v>
      </c>
      <c r="I31" t="str">
        <f ca="1"/>
        <v>Average</v>
      </c>
      <c r="J31" t="str">
        <f ca="1"/>
        <v>India</v>
      </c>
      <c r="K31">
        <f ca="1"/>
        <v>6.065753424657534</v>
      </c>
      <c r="L31">
        <f ca="1"/>
        <v>1961</v>
      </c>
      <c r="M31">
        <f ca="1"/>
        <v>3</v>
      </c>
    </row>
    <row r="32" spans="3:13" x14ac:dyDescent="0.3">
      <c r="C32" t="str">
        <f ca="1"/>
        <v>Marney O'Breen</v>
      </c>
      <c r="D32" t="str">
        <f ca="1"/>
        <v>Female</v>
      </c>
      <c r="E32" t="str">
        <f ca="1"/>
        <v>Finance</v>
      </c>
      <c r="F32">
        <f ca="1"/>
        <v>21</v>
      </c>
      <c r="G32">
        <f ca="1"/>
        <v>44317</v>
      </c>
      <c r="H32">
        <f ca="1"/>
        <v>65920</v>
      </c>
      <c r="I32" t="str">
        <f ca="1"/>
        <v>Average</v>
      </c>
      <c r="J32" t="str">
        <f ca="1"/>
        <v>nz</v>
      </c>
      <c r="K32">
        <f ca="1"/>
        <v>5.2136986301369861</v>
      </c>
      <c r="L32">
        <f ca="1"/>
        <v>1978</v>
      </c>
      <c r="M32">
        <f ca="1"/>
        <v>3</v>
      </c>
    </row>
    <row r="33" spans="3:13" x14ac:dyDescent="0.3">
      <c r="C33" t="str">
        <f ca="1"/>
        <v>Agrata Rajarama</v>
      </c>
      <c r="D33" t="str">
        <f ca="1"/>
        <v>Female</v>
      </c>
      <c r="E33" t="str">
        <f ca="1"/>
        <v>Finance</v>
      </c>
      <c r="F33">
        <f ca="1"/>
        <v>21</v>
      </c>
      <c r="G33">
        <f ca="1"/>
        <v>44256</v>
      </c>
      <c r="H33">
        <f ca="1"/>
        <v>65920</v>
      </c>
      <c r="I33" t="str">
        <f ca="1"/>
        <v>Average</v>
      </c>
      <c r="J33" t="str">
        <f ca="1"/>
        <v>India</v>
      </c>
      <c r="K33">
        <f ca="1"/>
        <v>5.3808219178082188</v>
      </c>
      <c r="L33">
        <f ca="1"/>
        <v>1978</v>
      </c>
      <c r="M33">
        <f ca="1"/>
        <v>3</v>
      </c>
    </row>
    <row r="34" spans="3:13" x14ac:dyDescent="0.3">
      <c r="C34" t="str">
        <f ca="1"/>
        <v>Husein Augar</v>
      </c>
      <c r="D34" t="str">
        <f ca="1"/>
        <v>Female</v>
      </c>
      <c r="E34" t="str">
        <f ca="1"/>
        <v>Finance</v>
      </c>
      <c r="F34">
        <f ca="1"/>
        <v>30</v>
      </c>
      <c r="G34">
        <f ca="1"/>
        <v>44389</v>
      </c>
      <c r="H34">
        <f ca="1"/>
        <v>67910</v>
      </c>
      <c r="I34" t="str">
        <f ca="1"/>
        <v>Poor</v>
      </c>
      <c r="J34" t="str">
        <f ca="1"/>
        <v>nz</v>
      </c>
      <c r="K34">
        <f ca="1"/>
        <v>5.0164383561643833</v>
      </c>
      <c r="L34">
        <f ca="1"/>
        <v>2038</v>
      </c>
      <c r="M34">
        <f ca="1"/>
        <v>2</v>
      </c>
    </row>
    <row r="35" spans="3:13" x14ac:dyDescent="0.3">
      <c r="C35" t="str">
        <f ca="1"/>
        <v>Kantimoy Pritish</v>
      </c>
      <c r="D35" t="str">
        <f ca="1"/>
        <v>Female</v>
      </c>
      <c r="E35" t="str">
        <f ca="1"/>
        <v>Finance</v>
      </c>
      <c r="F35">
        <f ca="1"/>
        <v>30</v>
      </c>
      <c r="G35">
        <f ca="1"/>
        <v>44328</v>
      </c>
      <c r="H35">
        <f ca="1"/>
        <v>67910</v>
      </c>
      <c r="I35" t="str">
        <f ca="1"/>
        <v>Poor</v>
      </c>
      <c r="J35" t="str">
        <f ca="1"/>
        <v>India</v>
      </c>
      <c r="K35">
        <f ca="1"/>
        <v>5.183561643835616</v>
      </c>
      <c r="L35">
        <f ca="1"/>
        <v>2038</v>
      </c>
      <c r="M35">
        <f ca="1"/>
        <v>2</v>
      </c>
    </row>
    <row r="36" spans="3:13" x14ac:dyDescent="0.3">
      <c r="C36" t="str">
        <f ca="1"/>
        <v>Hyacinthie Braybrooke</v>
      </c>
      <c r="D36" t="str">
        <f ca="1"/>
        <v>Female</v>
      </c>
      <c r="E36" t="str">
        <f ca="1"/>
        <v>Sales</v>
      </c>
      <c r="F36">
        <f ca="1"/>
        <v>20</v>
      </c>
      <c r="G36">
        <f ca="1"/>
        <v>44537</v>
      </c>
      <c r="H36">
        <f ca="1"/>
        <v>68900</v>
      </c>
      <c r="I36" t="str">
        <f ca="1"/>
        <v>Poor</v>
      </c>
      <c r="J36" t="str">
        <f ca="1"/>
        <v>nz</v>
      </c>
      <c r="K36">
        <f ca="1"/>
        <v>4.6109589041095891</v>
      </c>
      <c r="L36">
        <f ca="1"/>
        <v>2067</v>
      </c>
      <c r="M36">
        <f ca="1"/>
        <v>2</v>
      </c>
    </row>
    <row r="37" spans="3:13" x14ac:dyDescent="0.3">
      <c r="C37" t="str">
        <f ca="1"/>
        <v>Devasree Fullara Saurin</v>
      </c>
      <c r="D37" t="str">
        <f ca="1"/>
        <v>Female</v>
      </c>
      <c r="E37" t="str">
        <f ca="1"/>
        <v>Sales</v>
      </c>
      <c r="F37">
        <f ca="1"/>
        <v>20</v>
      </c>
      <c r="G37">
        <f ca="1"/>
        <v>44476</v>
      </c>
      <c r="H37">
        <f ca="1"/>
        <v>68900</v>
      </c>
      <c r="I37" t="str">
        <f ca="1"/>
        <v>Poor</v>
      </c>
      <c r="J37" t="str">
        <f ca="1"/>
        <v>India</v>
      </c>
      <c r="K37">
        <f ca="1"/>
        <v>4.7780821917808218</v>
      </c>
      <c r="L37">
        <f ca="1"/>
        <v>2067</v>
      </c>
      <c r="M37">
        <f ca="1"/>
        <v>2</v>
      </c>
    </row>
    <row r="38" spans="3:13" x14ac:dyDescent="0.3">
      <c r="C38" t="str">
        <f ca="1"/>
        <v>Barr Faughny</v>
      </c>
      <c r="D38" t="str">
        <f ca="1"/>
        <v>Female</v>
      </c>
      <c r="E38" t="str">
        <f ca="1"/>
        <v>Procurement</v>
      </c>
      <c r="F38">
        <f ca="1"/>
        <v>42</v>
      </c>
      <c r="G38">
        <f ca="1"/>
        <v>44779</v>
      </c>
      <c r="H38">
        <f ca="1"/>
        <v>75000</v>
      </c>
      <c r="I38" t="str">
        <f ca="1"/>
        <v>Exceptional</v>
      </c>
      <c r="J38" t="str">
        <f ca="1"/>
        <v>nz</v>
      </c>
      <c r="K38">
        <f ca="1"/>
        <v>3.9479452054794519</v>
      </c>
      <c r="L38">
        <f ca="1"/>
        <v>2250</v>
      </c>
      <c r="M38">
        <f ca="1"/>
        <v>5</v>
      </c>
    </row>
    <row r="39" spans="3:13" x14ac:dyDescent="0.3">
      <c r="C39" t="str">
        <f ca="1"/>
        <v>Nanak Sapna</v>
      </c>
      <c r="D39" t="str">
        <f ca="1"/>
        <v>Female</v>
      </c>
      <c r="E39" t="str">
        <f ca="1"/>
        <v>Procurement</v>
      </c>
      <c r="F39">
        <f ca="1"/>
        <v>42</v>
      </c>
      <c r="G39">
        <f ca="1"/>
        <v>44718</v>
      </c>
      <c r="H39">
        <f ca="1"/>
        <v>75000</v>
      </c>
      <c r="I39" t="str">
        <f ca="1"/>
        <v>Exceptional</v>
      </c>
      <c r="J39" t="str">
        <f ca="1"/>
        <v>India</v>
      </c>
      <c r="K39">
        <f ca="1"/>
        <v>4.1150684931506847</v>
      </c>
      <c r="L39">
        <f ca="1"/>
        <v>2250</v>
      </c>
      <c r="M39">
        <f ca="1"/>
        <v>5</v>
      </c>
    </row>
    <row r="40" spans="3:13" x14ac:dyDescent="0.3">
      <c r="C40" t="str">
        <f ca="1"/>
        <v>Elia Cockton</v>
      </c>
      <c r="D40" t="str">
        <f ca="1"/>
        <v>Female</v>
      </c>
      <c r="E40" t="str">
        <f ca="1"/>
        <v>Website</v>
      </c>
      <c r="F40">
        <f ca="1"/>
        <v>33</v>
      </c>
      <c r="G40">
        <f ca="1"/>
        <v>44312</v>
      </c>
      <c r="H40">
        <f ca="1"/>
        <v>75280</v>
      </c>
      <c r="I40" t="str">
        <f ca="1"/>
        <v>Average</v>
      </c>
      <c r="J40" t="str">
        <f ca="1"/>
        <v>nz</v>
      </c>
      <c r="K40">
        <f ca="1"/>
        <v>5.2273972602739729</v>
      </c>
      <c r="L40">
        <f ca="1"/>
        <v>2259</v>
      </c>
      <c r="M40">
        <f ca="1"/>
        <v>3</v>
      </c>
    </row>
    <row r="41" spans="3:13" x14ac:dyDescent="0.3">
      <c r="C41" t="str">
        <f ca="1"/>
        <v>Hemavati Muthiah</v>
      </c>
      <c r="D41" t="str">
        <f ca="1"/>
        <v>Female</v>
      </c>
      <c r="E41" t="str">
        <f ca="1"/>
        <v>Website</v>
      </c>
      <c r="F41">
        <f ca="1"/>
        <v>33</v>
      </c>
      <c r="G41">
        <f ca="1"/>
        <v>44253</v>
      </c>
      <c r="H41">
        <f ca="1"/>
        <v>75280</v>
      </c>
      <c r="I41" t="str">
        <f ca="1"/>
        <v>Average</v>
      </c>
      <c r="J41" t="str">
        <f ca="1"/>
        <v>India</v>
      </c>
      <c r="K41">
        <f ca="1"/>
        <v>5.3890410958904109</v>
      </c>
      <c r="L41">
        <f ca="1"/>
        <v>2259</v>
      </c>
      <c r="M41">
        <f ca="1"/>
        <v>3</v>
      </c>
    </row>
    <row r="42" spans="3:13" x14ac:dyDescent="0.3">
      <c r="C42" t="str">
        <f ca="1"/>
        <v>Camilla Castle</v>
      </c>
      <c r="D42" t="str">
        <f ca="1"/>
        <v>Female</v>
      </c>
      <c r="E42" t="str">
        <f ca="1"/>
        <v>Website</v>
      </c>
      <c r="F42">
        <f ca="1"/>
        <v>33</v>
      </c>
      <c r="G42">
        <f ca="1"/>
        <v>44374</v>
      </c>
      <c r="H42">
        <f ca="1"/>
        <v>75480</v>
      </c>
      <c r="I42" t="str">
        <f ca="1"/>
        <v>Very poor</v>
      </c>
      <c r="J42" t="str">
        <f ca="1"/>
        <v>nz</v>
      </c>
      <c r="K42">
        <f ca="1"/>
        <v>5.0575342465753428</v>
      </c>
      <c r="L42">
        <f ca="1"/>
        <v>2265</v>
      </c>
      <c r="M42">
        <f ca="1"/>
        <v>1</v>
      </c>
    </row>
    <row r="43" spans="3:13" x14ac:dyDescent="0.3">
      <c r="C43" t="str">
        <f ca="1"/>
        <v>Ayog Chakrabarti</v>
      </c>
      <c r="D43" t="str">
        <f ca="1"/>
        <v>Female</v>
      </c>
      <c r="E43" t="str">
        <f ca="1"/>
        <v>Website</v>
      </c>
      <c r="F43">
        <f ca="1"/>
        <v>33</v>
      </c>
      <c r="G43">
        <f ca="1"/>
        <v>44313</v>
      </c>
      <c r="H43">
        <f ca="1"/>
        <v>75480</v>
      </c>
      <c r="I43" t="str">
        <f ca="1"/>
        <v>Very poor</v>
      </c>
      <c r="J43" t="str">
        <f ca="1"/>
        <v>India</v>
      </c>
      <c r="K43">
        <f ca="1"/>
        <v>5.2246575342465755</v>
      </c>
      <c r="L43">
        <f ca="1"/>
        <v>2265</v>
      </c>
      <c r="M43">
        <f ca="1"/>
        <v>1</v>
      </c>
    </row>
    <row r="44" spans="3:13" x14ac:dyDescent="0.3">
      <c r="C44" t="str">
        <f ca="1"/>
        <v>Beverie Moffet</v>
      </c>
      <c r="D44" t="str">
        <f ca="1"/>
        <v>Female</v>
      </c>
      <c r="E44" t="str">
        <f ca="1"/>
        <v>Finance</v>
      </c>
      <c r="F44">
        <f ca="1"/>
        <v>28</v>
      </c>
      <c r="G44">
        <f ca="1"/>
        <v>44185</v>
      </c>
      <c r="H44">
        <f ca="1"/>
        <v>75970</v>
      </c>
      <c r="I44" t="str">
        <f ca="1"/>
        <v>Average</v>
      </c>
      <c r="J44" t="str">
        <f ca="1"/>
        <v>nz</v>
      </c>
      <c r="K44">
        <f ca="1"/>
        <v>5.5753424657534243</v>
      </c>
      <c r="L44">
        <f ca="1"/>
        <v>2280</v>
      </c>
      <c r="M44">
        <f ca="1"/>
        <v>3</v>
      </c>
    </row>
    <row r="45" spans="3:13" x14ac:dyDescent="0.3">
      <c r="C45" t="str">
        <f ca="1"/>
        <v>Indu Varada Sumedh</v>
      </c>
      <c r="D45" t="str">
        <f ca="1"/>
        <v>Female</v>
      </c>
      <c r="E45" t="str">
        <f ca="1"/>
        <v>Finance</v>
      </c>
      <c r="F45">
        <f ca="1"/>
        <v>28</v>
      </c>
      <c r="G45">
        <f ca="1"/>
        <v>44124</v>
      </c>
      <c r="H45">
        <f ca="1"/>
        <v>75970</v>
      </c>
      <c r="I45" t="str">
        <f ca="1"/>
        <v>Average</v>
      </c>
      <c r="J45" t="str">
        <f ca="1"/>
        <v>India</v>
      </c>
      <c r="K45">
        <f ca="1"/>
        <v>5.7424657534246579</v>
      </c>
      <c r="L45">
        <f ca="1"/>
        <v>2280</v>
      </c>
      <c r="M45">
        <f ca="1"/>
        <v>3</v>
      </c>
    </row>
    <row r="46" spans="3:13" x14ac:dyDescent="0.3">
      <c r="C46" t="str">
        <f ca="1"/>
        <v>Virginia McConville</v>
      </c>
      <c r="D46" t="str">
        <f ca="1"/>
        <v>Female</v>
      </c>
      <c r="E46" t="str">
        <f ca="1"/>
        <v>Procurement</v>
      </c>
      <c r="F46">
        <f ca="1"/>
        <v>22</v>
      </c>
      <c r="G46">
        <f ca="1"/>
        <v>44450</v>
      </c>
      <c r="H46">
        <f ca="1"/>
        <v>76900</v>
      </c>
      <c r="I46" t="str">
        <f ca="1"/>
        <v>Above average</v>
      </c>
      <c r="J46" t="str">
        <f ca="1"/>
        <v>nz</v>
      </c>
      <c r="K46">
        <f ca="1"/>
        <v>4.8493150684931505</v>
      </c>
      <c r="L46">
        <f ca="1"/>
        <v>2307</v>
      </c>
      <c r="M46">
        <f ca="1"/>
        <v>4</v>
      </c>
    </row>
    <row r="47" spans="3:13" x14ac:dyDescent="0.3">
      <c r="C47" t="str">
        <f ca="1"/>
        <v>Shreela Ramasubraman</v>
      </c>
      <c r="D47" t="str">
        <f ca="1"/>
        <v>Female</v>
      </c>
      <c r="E47" t="str">
        <f ca="1"/>
        <v>Procurement</v>
      </c>
      <c r="F47">
        <f ca="1"/>
        <v>22</v>
      </c>
      <c r="G47">
        <f ca="1"/>
        <v>44388</v>
      </c>
      <c r="H47">
        <f ca="1"/>
        <v>76900</v>
      </c>
      <c r="I47" t="str">
        <f ca="1"/>
        <v>Above average</v>
      </c>
      <c r="J47" t="str">
        <f ca="1"/>
        <v>India</v>
      </c>
      <c r="K47">
        <f ca="1"/>
        <v>5.0191780821917806</v>
      </c>
      <c r="L47">
        <f ca="1"/>
        <v>2307</v>
      </c>
      <c r="M47">
        <f ca="1"/>
        <v>4</v>
      </c>
    </row>
    <row r="48" spans="3:13" x14ac:dyDescent="0.3">
      <c r="C48" t="str">
        <f ca="1"/>
        <v>Allene Gobbet</v>
      </c>
      <c r="D48" t="str">
        <f ca="1"/>
        <v>Female</v>
      </c>
      <c r="E48" t="str">
        <f ca="1"/>
        <v>Procurement</v>
      </c>
      <c r="F48">
        <f ca="1"/>
        <v>36</v>
      </c>
      <c r="G48">
        <f ca="1"/>
        <v>44529</v>
      </c>
      <c r="H48">
        <f ca="1"/>
        <v>78390</v>
      </c>
      <c r="I48" t="str">
        <f ca="1"/>
        <v>Average</v>
      </c>
      <c r="J48" t="str">
        <f ca="1"/>
        <v>nz</v>
      </c>
      <c r="K48">
        <f ca="1"/>
        <v>4.6328767123287671</v>
      </c>
      <c r="L48">
        <f ca="1"/>
        <v>2352</v>
      </c>
      <c r="M48">
        <f ca="1"/>
        <v>3</v>
      </c>
    </row>
    <row r="49" spans="3:13" x14ac:dyDescent="0.3">
      <c r="C49" t="str">
        <f ca="1"/>
        <v>Rushil Kripa</v>
      </c>
      <c r="D49" t="str">
        <f ca="1"/>
        <v>Female</v>
      </c>
      <c r="E49" t="str">
        <f ca="1"/>
        <v>Procurement</v>
      </c>
      <c r="F49">
        <f ca="1"/>
        <v>36</v>
      </c>
      <c r="G49">
        <f ca="1"/>
        <v>44468</v>
      </c>
      <c r="H49">
        <f ca="1"/>
        <v>78390</v>
      </c>
      <c r="I49" t="str">
        <f ca="1"/>
        <v>Average</v>
      </c>
      <c r="J49" t="str">
        <f ca="1"/>
        <v>India</v>
      </c>
      <c r="K49">
        <f ca="1"/>
        <v>4.8</v>
      </c>
      <c r="L49">
        <f ca="1"/>
        <v>2352</v>
      </c>
      <c r="M49">
        <f ca="1"/>
        <v>3</v>
      </c>
    </row>
    <row r="50" spans="3:13" x14ac:dyDescent="0.3">
      <c r="C50" t="str">
        <f ca="1"/>
        <v>Gray Seamon</v>
      </c>
      <c r="D50" t="str">
        <f ca="1"/>
        <v>Female</v>
      </c>
      <c r="E50" t="str">
        <f ca="1"/>
        <v>Sales</v>
      </c>
      <c r="F50">
        <f ca="1"/>
        <v>36</v>
      </c>
      <c r="G50">
        <f ca="1"/>
        <v>44494</v>
      </c>
      <c r="H50">
        <f ca="1"/>
        <v>78540</v>
      </c>
      <c r="I50" t="str">
        <f ca="1"/>
        <v>Average</v>
      </c>
      <c r="J50" t="str">
        <f ca="1"/>
        <v>nz</v>
      </c>
      <c r="K50">
        <f ca="1"/>
        <v>4.7287671232876711</v>
      </c>
      <c r="L50">
        <f ca="1"/>
        <v>2357</v>
      </c>
      <c r="M50">
        <f ca="1"/>
        <v>3</v>
      </c>
    </row>
    <row r="51" spans="3:13" x14ac:dyDescent="0.3">
      <c r="C51" t="str">
        <f ca="1"/>
        <v>Shulabh Qutub Sundaramoorthy</v>
      </c>
      <c r="D51" t="str">
        <f ca="1"/>
        <v>Female</v>
      </c>
      <c r="E51" t="str">
        <f ca="1"/>
        <v>Sales</v>
      </c>
      <c r="F51">
        <f ca="1"/>
        <v>36</v>
      </c>
      <c r="G51">
        <f ca="1"/>
        <v>44433</v>
      </c>
      <c r="H51">
        <f ca="1"/>
        <v>78540</v>
      </c>
      <c r="I51" t="str">
        <f ca="1"/>
        <v>Average</v>
      </c>
      <c r="J51" t="str">
        <f ca="1"/>
        <v>India</v>
      </c>
      <c r="K51">
        <f ca="1"/>
        <v>4.8958904109589039</v>
      </c>
      <c r="L51">
        <f ca="1"/>
        <v>2357</v>
      </c>
      <c r="M51">
        <f ca="1"/>
        <v>3</v>
      </c>
    </row>
    <row r="52" spans="3:13" x14ac:dyDescent="0.3">
      <c r="C52" t="str">
        <f ca="1"/>
        <v>Van Tuxwell</v>
      </c>
      <c r="D52" t="str">
        <f ca="1"/>
        <v>Female</v>
      </c>
      <c r="E52" t="str">
        <f ca="1"/>
        <v>Website</v>
      </c>
      <c r="F52">
        <f ca="1"/>
        <v>25</v>
      </c>
      <c r="G52">
        <f ca="1"/>
        <v>44694</v>
      </c>
      <c r="H52">
        <f ca="1"/>
        <v>80700</v>
      </c>
      <c r="I52" t="str">
        <f ca="1"/>
        <v>Above average</v>
      </c>
      <c r="J52" t="str">
        <f ca="1"/>
        <v>nz</v>
      </c>
      <c r="K52">
        <f ca="1"/>
        <v>4.1808219178082195</v>
      </c>
      <c r="L52">
        <f ca="1"/>
        <v>2421</v>
      </c>
      <c r="M52">
        <f ca="1"/>
        <v>4</v>
      </c>
    </row>
    <row r="53" spans="3:13" x14ac:dyDescent="0.3">
      <c r="C53" t="str">
        <f ca="1"/>
        <v>Bhuvan Pals</v>
      </c>
      <c r="D53" t="str">
        <f ca="1"/>
        <v>Female</v>
      </c>
      <c r="E53" t="str">
        <f ca="1"/>
        <v>Website</v>
      </c>
      <c r="F53">
        <f ca="1"/>
        <v>25</v>
      </c>
      <c r="G53">
        <f ca="1"/>
        <v>44633</v>
      </c>
      <c r="H53">
        <f ca="1"/>
        <v>80700</v>
      </c>
      <c r="I53" t="str">
        <f ca="1"/>
        <v>Above average</v>
      </c>
      <c r="J53" t="str">
        <f ca="1"/>
        <v>India</v>
      </c>
      <c r="K53">
        <f ca="1"/>
        <v>4.3479452054794523</v>
      </c>
      <c r="L53">
        <f ca="1"/>
        <v>2421</v>
      </c>
      <c r="M53">
        <f ca="1"/>
        <v>4</v>
      </c>
    </row>
    <row r="54" spans="3:13" x14ac:dyDescent="0.3">
      <c r="C54" t="str">
        <f ca="1"/>
        <v>Agnes Collicott</v>
      </c>
      <c r="D54" t="str">
        <f ca="1"/>
        <v>Female</v>
      </c>
      <c r="E54" t="str">
        <f ca="1"/>
        <v>Website</v>
      </c>
      <c r="F54">
        <f ca="1"/>
        <v>27</v>
      </c>
      <c r="G54">
        <f ca="1"/>
        <v>44686</v>
      </c>
      <c r="H54">
        <f ca="1"/>
        <v>83750</v>
      </c>
      <c r="I54" t="str">
        <f ca="1"/>
        <v>Average</v>
      </c>
      <c r="J54" t="str">
        <f ca="1"/>
        <v>nz</v>
      </c>
      <c r="K54">
        <f ca="1"/>
        <v>4.2027397260273975</v>
      </c>
      <c r="L54">
        <f ca="1"/>
        <v>2513</v>
      </c>
      <c r="M54">
        <f ca="1"/>
        <v>3</v>
      </c>
    </row>
    <row r="55" spans="3:13" x14ac:dyDescent="0.3">
      <c r="C55" t="str">
        <f ca="1"/>
        <v>Kunja Prashanta Vibha</v>
      </c>
      <c r="D55" t="str">
        <f ca="1"/>
        <v>Female</v>
      </c>
      <c r="E55" t="str">
        <f ca="1"/>
        <v>Website</v>
      </c>
      <c r="F55">
        <f ca="1"/>
        <v>27</v>
      </c>
      <c r="G55">
        <f ca="1"/>
        <v>44625</v>
      </c>
      <c r="H55">
        <f ca="1"/>
        <v>83750</v>
      </c>
      <c r="I55" t="str">
        <f ca="1"/>
        <v>Average</v>
      </c>
      <c r="J55" t="str">
        <f ca="1"/>
        <v>India</v>
      </c>
      <c r="K55">
        <f ca="1"/>
        <v>4.3698630136986303</v>
      </c>
      <c r="L55">
        <f ca="1"/>
        <v>2513</v>
      </c>
      <c r="M55">
        <f ca="1"/>
        <v>3</v>
      </c>
    </row>
    <row r="56" spans="3:13" x14ac:dyDescent="0.3">
      <c r="C56" t="str">
        <f ca="1"/>
        <v>Karlen McCaffrey</v>
      </c>
      <c r="D56" t="str">
        <f ca="1"/>
        <v>Female</v>
      </c>
      <c r="E56" t="str">
        <f ca="1"/>
        <v>Finance</v>
      </c>
      <c r="F56">
        <f ca="1"/>
        <v>34</v>
      </c>
      <c r="G56">
        <f ca="1"/>
        <v>44459</v>
      </c>
      <c r="H56">
        <f ca="1"/>
        <v>85000</v>
      </c>
      <c r="I56" t="str">
        <f ca="1"/>
        <v>Average</v>
      </c>
      <c r="J56" t="str">
        <f ca="1"/>
        <v>nz</v>
      </c>
      <c r="K56">
        <f ca="1"/>
        <v>4.8246575342465752</v>
      </c>
      <c r="L56">
        <f ca="1"/>
        <v>2550</v>
      </c>
      <c r="M56">
        <f ca="1"/>
        <v>3</v>
      </c>
    </row>
    <row r="57" spans="3:13" x14ac:dyDescent="0.3">
      <c r="C57" t="str">
        <f ca="1"/>
        <v>Tarala Vishaal</v>
      </c>
      <c r="D57" t="str">
        <f ca="1"/>
        <v>Female</v>
      </c>
      <c r="E57" t="str">
        <f ca="1"/>
        <v>Finance</v>
      </c>
      <c r="F57">
        <f ca="1"/>
        <v>34</v>
      </c>
      <c r="G57">
        <f ca="1"/>
        <v>44397</v>
      </c>
      <c r="H57">
        <f ca="1"/>
        <v>85000</v>
      </c>
      <c r="I57" t="str">
        <f ca="1"/>
        <v>Average</v>
      </c>
      <c r="J57" t="str">
        <f ca="1"/>
        <v>India</v>
      </c>
      <c r="K57">
        <f ca="1"/>
        <v>4.9945205479452053</v>
      </c>
      <c r="L57">
        <f ca="1"/>
        <v>2550</v>
      </c>
      <c r="M57">
        <f ca="1"/>
        <v>3</v>
      </c>
    </row>
    <row r="58" spans="3:13" x14ac:dyDescent="0.3">
      <c r="C58" t="str">
        <f ca="1"/>
        <v>Sibyl Dunkirk</v>
      </c>
      <c r="D58" t="str">
        <f ca="1"/>
        <v>Female</v>
      </c>
      <c r="E58" t="str">
        <f ca="1"/>
        <v>Finance</v>
      </c>
      <c r="F58">
        <f ca="1"/>
        <v>33</v>
      </c>
      <c r="G58">
        <f ca="1"/>
        <v>44809</v>
      </c>
      <c r="H58">
        <f ca="1"/>
        <v>86570</v>
      </c>
      <c r="I58" t="str">
        <f ca="1"/>
        <v>Average</v>
      </c>
      <c r="J58" t="str">
        <f ca="1"/>
        <v>nz</v>
      </c>
      <c r="K58">
        <f ca="1"/>
        <v>3.8657534246575342</v>
      </c>
      <c r="L58">
        <f ca="1"/>
        <v>2598</v>
      </c>
      <c r="M58">
        <f ca="1"/>
        <v>3</v>
      </c>
    </row>
    <row r="59" spans="3:13" x14ac:dyDescent="0.3">
      <c r="C59" t="str">
        <f ca="1"/>
        <v>Madhumati Gazala Soumitra</v>
      </c>
      <c r="D59" t="str">
        <f ca="1"/>
        <v>Female</v>
      </c>
      <c r="E59" t="str">
        <f ca="1"/>
        <v>Finance</v>
      </c>
      <c r="F59">
        <f ca="1"/>
        <v>33</v>
      </c>
      <c r="G59">
        <f ca="1"/>
        <v>44747</v>
      </c>
      <c r="H59">
        <f ca="1"/>
        <v>86570</v>
      </c>
      <c r="I59" t="str">
        <f ca="1"/>
        <v>Average</v>
      </c>
      <c r="J59" t="str">
        <f ca="1"/>
        <v>India</v>
      </c>
      <c r="K59">
        <f ca="1"/>
        <v>4.0356164383561648</v>
      </c>
      <c r="L59">
        <f ca="1"/>
        <v>2598</v>
      </c>
      <c r="M59">
        <f ca="1"/>
        <v>3</v>
      </c>
    </row>
    <row r="60" spans="3:13" x14ac:dyDescent="0.3">
      <c r="C60" t="str">
        <f ca="1"/>
        <v>Merrilee Plenty</v>
      </c>
      <c r="D60" t="str">
        <f ca="1"/>
        <v>Female</v>
      </c>
      <c r="E60" t="str">
        <f ca="1"/>
        <v>Website</v>
      </c>
      <c r="F60">
        <f ca="1"/>
        <v>40</v>
      </c>
      <c r="G60">
        <f ca="1"/>
        <v>44337</v>
      </c>
      <c r="H60">
        <f ca="1"/>
        <v>87620</v>
      </c>
      <c r="I60" t="str">
        <f ca="1"/>
        <v>Average</v>
      </c>
      <c r="J60" t="str">
        <f ca="1"/>
        <v>nz</v>
      </c>
      <c r="K60">
        <f ca="1"/>
        <v>5.1589041095890407</v>
      </c>
      <c r="L60">
        <f ca="1"/>
        <v>2629</v>
      </c>
      <c r="M60">
        <f ca="1"/>
        <v>3</v>
      </c>
    </row>
    <row r="61" spans="3:13" x14ac:dyDescent="0.3">
      <c r="C61" t="str">
        <f ca="1"/>
        <v>Godavari Veena</v>
      </c>
      <c r="D61" t="str">
        <f ca="1"/>
        <v>Female</v>
      </c>
      <c r="E61" t="str">
        <f ca="1"/>
        <v>Website</v>
      </c>
      <c r="F61">
        <f ca="1"/>
        <v>40</v>
      </c>
      <c r="G61">
        <f ca="1"/>
        <v>44276</v>
      </c>
      <c r="H61">
        <f ca="1"/>
        <v>87620</v>
      </c>
      <c r="I61" t="str">
        <f ca="1"/>
        <v>Average</v>
      </c>
      <c r="J61" t="str">
        <f ca="1"/>
        <v>India</v>
      </c>
      <c r="K61">
        <f ca="1"/>
        <v>5.3260273972602743</v>
      </c>
      <c r="L61">
        <f ca="1"/>
        <v>2629</v>
      </c>
      <c r="M61">
        <f ca="1"/>
        <v>3</v>
      </c>
    </row>
    <row r="62" spans="3:13" x14ac:dyDescent="0.3">
      <c r="C62" t="str">
        <f ca="1"/>
        <v>Leilah Yesinin</v>
      </c>
      <c r="D62" t="str">
        <f ca="1"/>
        <v>Female</v>
      </c>
      <c r="E62" t="str">
        <f ca="1"/>
        <v>Finance</v>
      </c>
      <c r="F62">
        <f ca="1"/>
        <v>34</v>
      </c>
      <c r="G62">
        <f ca="1"/>
        <v>44445</v>
      </c>
      <c r="H62">
        <f ca="1"/>
        <v>92450</v>
      </c>
      <c r="I62" t="str">
        <f ca="1"/>
        <v>Average</v>
      </c>
      <c r="J62" t="str">
        <f ca="1"/>
        <v>nz</v>
      </c>
      <c r="K62">
        <f ca="1"/>
        <v>4.8630136986301373</v>
      </c>
      <c r="L62">
        <f ca="1"/>
        <v>2774</v>
      </c>
      <c r="M62">
        <f ca="1"/>
        <v>3</v>
      </c>
    </row>
    <row r="63" spans="3:13" x14ac:dyDescent="0.3">
      <c r="C63" t="str">
        <f ca="1"/>
        <v>Deepit Ranjana</v>
      </c>
      <c r="D63" t="str">
        <f ca="1"/>
        <v>Female</v>
      </c>
      <c r="E63" t="str">
        <f ca="1"/>
        <v>Finance</v>
      </c>
      <c r="F63">
        <f ca="1"/>
        <v>34</v>
      </c>
      <c r="G63">
        <f ca="1"/>
        <v>44383</v>
      </c>
      <c r="H63">
        <f ca="1"/>
        <v>92450</v>
      </c>
      <c r="I63" t="str">
        <f ca="1"/>
        <v>Average</v>
      </c>
      <c r="J63" t="str">
        <f ca="1"/>
        <v>India</v>
      </c>
      <c r="K63">
        <f ca="1"/>
        <v>5.0328767123287674</v>
      </c>
      <c r="L63">
        <f ca="1"/>
        <v>2774</v>
      </c>
      <c r="M63">
        <f ca="1"/>
        <v>3</v>
      </c>
    </row>
    <row r="64" spans="3:13" x14ac:dyDescent="0.3">
      <c r="C64" t="str">
        <f ca="1"/>
        <v>Hinda Label</v>
      </c>
      <c r="D64" t="str">
        <f ca="1"/>
        <v>Female</v>
      </c>
      <c r="E64" t="str">
        <f ca="1"/>
        <v>Sales</v>
      </c>
      <c r="F64">
        <f ca="1"/>
        <v>25</v>
      </c>
      <c r="G64">
        <f ca="1"/>
        <v>44205</v>
      </c>
      <c r="H64">
        <f ca="1"/>
        <v>92700</v>
      </c>
      <c r="I64" t="str">
        <f ca="1"/>
        <v>Average</v>
      </c>
      <c r="J64" t="str">
        <f ca="1"/>
        <v>nz</v>
      </c>
      <c r="K64">
        <f ca="1"/>
        <v>5.5205479452054798</v>
      </c>
      <c r="L64">
        <f ca="1"/>
        <v>2781</v>
      </c>
      <c r="M64">
        <f ca="1"/>
        <v>3</v>
      </c>
    </row>
    <row r="65" spans="3:13" x14ac:dyDescent="0.3">
      <c r="C65" t="str">
        <f ca="1"/>
        <v>Purnendu Vijayarangan</v>
      </c>
      <c r="D65" t="str">
        <f ca="1"/>
        <v>Female</v>
      </c>
      <c r="E65" t="str">
        <f ca="1"/>
        <v>Sales</v>
      </c>
      <c r="F65">
        <f ca="1"/>
        <v>25</v>
      </c>
      <c r="G65">
        <f ca="1"/>
        <v>44144</v>
      </c>
      <c r="H65">
        <f ca="1"/>
        <v>92700</v>
      </c>
      <c r="I65" t="str">
        <f ca="1"/>
        <v>Average</v>
      </c>
      <c r="J65" t="str">
        <f ca="1"/>
        <v>India</v>
      </c>
      <c r="K65">
        <f ca="1"/>
        <v>5.6876712328767125</v>
      </c>
      <c r="L65">
        <f ca="1"/>
        <v>2781</v>
      </c>
      <c r="M65">
        <f ca="1"/>
        <v>3</v>
      </c>
    </row>
    <row r="66" spans="3:13" x14ac:dyDescent="0.3">
      <c r="C66" t="str">
        <f ca="1"/>
        <v>Torrance Collier</v>
      </c>
      <c r="D66" t="str">
        <f ca="1"/>
        <v>Female</v>
      </c>
      <c r="E66" t="str">
        <f ca="1"/>
        <v>Website</v>
      </c>
      <c r="F66">
        <f ca="1"/>
        <v>33</v>
      </c>
      <c r="G66">
        <f ca="1"/>
        <v>44190</v>
      </c>
      <c r="H66">
        <f ca="1"/>
        <v>96140</v>
      </c>
      <c r="I66" t="str">
        <f ca="1"/>
        <v>Average</v>
      </c>
      <c r="J66" t="str">
        <f ca="1"/>
        <v>nz</v>
      </c>
      <c r="K66">
        <f ca="1"/>
        <v>5.5616438356164384</v>
      </c>
      <c r="L66">
        <f ca="1"/>
        <v>2885</v>
      </c>
      <c r="M66">
        <f ca="1"/>
        <v>3</v>
      </c>
    </row>
    <row r="67" spans="3:13" x14ac:dyDescent="0.3">
      <c r="C67" t="str">
        <f ca="1"/>
        <v>Sukhdev Nageshwar</v>
      </c>
      <c r="D67" t="str">
        <f ca="1"/>
        <v>Female</v>
      </c>
      <c r="E67" t="str">
        <f ca="1"/>
        <v>Website</v>
      </c>
      <c r="F67">
        <f ca="1"/>
        <v>33</v>
      </c>
      <c r="G67">
        <f ca="1"/>
        <v>44129</v>
      </c>
      <c r="H67">
        <f ca="1"/>
        <v>96140</v>
      </c>
      <c r="I67" t="str">
        <f ca="1"/>
        <v>Average</v>
      </c>
      <c r="J67" t="str">
        <f ca="1"/>
        <v>India</v>
      </c>
      <c r="K67">
        <f ca="1"/>
        <v>5.7287671232876711</v>
      </c>
      <c r="L67">
        <f ca="1"/>
        <v>2885</v>
      </c>
      <c r="M67">
        <f ca="1"/>
        <v>3</v>
      </c>
    </row>
    <row r="68" spans="3:13" x14ac:dyDescent="0.3">
      <c r="C68" t="str">
        <f ca="1"/>
        <v>Bernie Gorges</v>
      </c>
      <c r="D68" t="str">
        <f ca="1"/>
        <v>Female</v>
      </c>
      <c r="E68" t="str">
        <f ca="1"/>
        <v>Procurement</v>
      </c>
      <c r="F68">
        <f ca="1"/>
        <v>28</v>
      </c>
      <c r="G68">
        <f ca="1"/>
        <v>44630</v>
      </c>
      <c r="H68">
        <f ca="1"/>
        <v>99970</v>
      </c>
      <c r="I68" t="str">
        <f ca="1"/>
        <v>Average</v>
      </c>
      <c r="J68" t="str">
        <f ca="1"/>
        <v>nz</v>
      </c>
      <c r="K68">
        <f ca="1"/>
        <v>4.3561643835616435</v>
      </c>
      <c r="L68">
        <f ca="1"/>
        <v>3000</v>
      </c>
      <c r="M68">
        <f ca="1"/>
        <v>3</v>
      </c>
    </row>
    <row r="69" spans="3:13" x14ac:dyDescent="0.3">
      <c r="C69" t="str">
        <f ca="1"/>
        <v>Vasu Nandin</v>
      </c>
      <c r="D69" t="str">
        <f ca="1"/>
        <v>Female</v>
      </c>
      <c r="E69" t="str">
        <f ca="1"/>
        <v>Procurement</v>
      </c>
      <c r="F69">
        <f ca="1"/>
        <v>28</v>
      </c>
      <c r="G69">
        <f ca="1"/>
        <v>44571</v>
      </c>
      <c r="H69">
        <f ca="1"/>
        <v>99970</v>
      </c>
      <c r="I69" t="str">
        <f ca="1"/>
        <v>Average</v>
      </c>
      <c r="J69" t="str">
        <f ca="1"/>
        <v>India</v>
      </c>
      <c r="K69">
        <f ca="1"/>
        <v>4.5178082191780824</v>
      </c>
      <c r="L69">
        <f ca="1"/>
        <v>3000</v>
      </c>
      <c r="M69">
        <f ca="1"/>
        <v>3</v>
      </c>
    </row>
    <row r="70" spans="3:13" x14ac:dyDescent="0.3">
      <c r="C70" t="str">
        <f ca="1"/>
        <v>Cherlyn Barter</v>
      </c>
      <c r="D70" t="str">
        <f ca="1"/>
        <v>Female</v>
      </c>
      <c r="E70" t="str">
        <f ca="1"/>
        <v>Procurement</v>
      </c>
      <c r="F70">
        <f ca="1"/>
        <v>28</v>
      </c>
      <c r="G70">
        <f ca="1"/>
        <v>44649</v>
      </c>
      <c r="H70">
        <f ca="1"/>
        <v>104120</v>
      </c>
      <c r="I70" t="str">
        <f ca="1"/>
        <v>Average</v>
      </c>
      <c r="J70" t="str">
        <f ca="1"/>
        <v>nz</v>
      </c>
      <c r="K70">
        <f ca="1"/>
        <v>4.3041095890410963</v>
      </c>
      <c r="L70">
        <f ca="1"/>
        <v>3124</v>
      </c>
      <c r="M70">
        <f ca="1"/>
        <v>3</v>
      </c>
    </row>
    <row r="71" spans="3:13" x14ac:dyDescent="0.3">
      <c r="C71" t="str">
        <f ca="1"/>
        <v>Sartaj Probal</v>
      </c>
      <c r="D71" t="str">
        <f ca="1"/>
        <v>Female</v>
      </c>
      <c r="E71" t="str">
        <f ca="1"/>
        <v>Procurement</v>
      </c>
      <c r="F71">
        <f ca="1"/>
        <v>28</v>
      </c>
      <c r="G71">
        <f ca="1"/>
        <v>44590</v>
      </c>
      <c r="H71">
        <f ca="1"/>
        <v>104120</v>
      </c>
      <c r="I71" t="str">
        <f ca="1"/>
        <v>Average</v>
      </c>
      <c r="J71" t="str">
        <f ca="1"/>
        <v>India</v>
      </c>
      <c r="K71">
        <f ca="1"/>
        <v>4.4657534246575343</v>
      </c>
      <c r="L71">
        <f ca="1"/>
        <v>3124</v>
      </c>
      <c r="M71">
        <f ca="1"/>
        <v>3</v>
      </c>
    </row>
    <row r="72" spans="3:13" x14ac:dyDescent="0.3">
      <c r="C72" t="str">
        <f ca="1"/>
        <v>Caro Chappel</v>
      </c>
      <c r="D72" t="str">
        <f ca="1"/>
        <v>Female</v>
      </c>
      <c r="E72" t="str">
        <f ca="1"/>
        <v>Website</v>
      </c>
      <c r="F72">
        <f ca="1"/>
        <v>40</v>
      </c>
      <c r="G72">
        <f ca="1"/>
        <v>44381</v>
      </c>
      <c r="H72">
        <f ca="1"/>
        <v>104410</v>
      </c>
      <c r="I72" t="str">
        <f ca="1"/>
        <v>Average</v>
      </c>
      <c r="J72" t="str">
        <f ca="1"/>
        <v>nz</v>
      </c>
      <c r="K72">
        <f ca="1"/>
        <v>5.0383561643835613</v>
      </c>
      <c r="L72">
        <f ca="1"/>
        <v>3133</v>
      </c>
      <c r="M72">
        <f ca="1"/>
        <v>3</v>
      </c>
    </row>
    <row r="73" spans="3:13" x14ac:dyDescent="0.3">
      <c r="C73" t="str">
        <f ca="1"/>
        <v>Manjusri Ruchi</v>
      </c>
      <c r="D73" t="str">
        <f ca="1"/>
        <v>Female</v>
      </c>
      <c r="E73" t="str">
        <f ca="1"/>
        <v>Website</v>
      </c>
      <c r="F73">
        <f ca="1"/>
        <v>40</v>
      </c>
      <c r="G73">
        <f ca="1"/>
        <v>44320</v>
      </c>
      <c r="H73">
        <f ca="1"/>
        <v>104410</v>
      </c>
      <c r="I73" t="str">
        <f ca="1"/>
        <v>Average</v>
      </c>
      <c r="J73" t="str">
        <f ca="1"/>
        <v>India</v>
      </c>
      <c r="K73">
        <f ca="1"/>
        <v>5.2054794520547949</v>
      </c>
      <c r="L73">
        <f ca="1"/>
        <v>3133</v>
      </c>
      <c r="M73">
        <f ca="1"/>
        <v>3</v>
      </c>
    </row>
    <row r="74" spans="3:13" x14ac:dyDescent="0.3">
      <c r="C74" t="str">
        <f ca="1"/>
        <v>Janene Hairsine</v>
      </c>
      <c r="D74" t="str">
        <f ca="1"/>
        <v>Female</v>
      </c>
      <c r="E74" t="str">
        <f ca="1"/>
        <v>Procurement</v>
      </c>
      <c r="F74">
        <f ca="1"/>
        <v>28</v>
      </c>
      <c r="G74">
        <f ca="1"/>
        <v>44486</v>
      </c>
      <c r="H74">
        <f ca="1"/>
        <v>104770</v>
      </c>
      <c r="I74" t="str">
        <f ca="1"/>
        <v>Average</v>
      </c>
      <c r="J74" t="str">
        <f ca="1"/>
        <v>nz</v>
      </c>
      <c r="K74">
        <f ca="1"/>
        <v>4.7506849315068491</v>
      </c>
      <c r="L74">
        <f ca="1"/>
        <v>3144</v>
      </c>
      <c r="M74">
        <f ca="1"/>
        <v>3</v>
      </c>
    </row>
    <row r="75" spans="3:13" x14ac:dyDescent="0.3">
      <c r="C75" t="str">
        <f ca="1"/>
        <v>Shevantilal Muppala</v>
      </c>
      <c r="D75" t="str">
        <f ca="1"/>
        <v>Female</v>
      </c>
      <c r="E75" t="str">
        <f ca="1"/>
        <v>Procurement</v>
      </c>
      <c r="F75">
        <f ca="1"/>
        <v>28</v>
      </c>
      <c r="G75">
        <f ca="1"/>
        <v>44425</v>
      </c>
      <c r="H75">
        <f ca="1"/>
        <v>104770</v>
      </c>
      <c r="I75" t="str">
        <f ca="1"/>
        <v>Average</v>
      </c>
      <c r="J75" t="str">
        <f ca="1"/>
        <v>India</v>
      </c>
      <c r="K75">
        <f ca="1"/>
        <v>4.9178082191780819</v>
      </c>
      <c r="L75">
        <f ca="1"/>
        <v>3144</v>
      </c>
      <c r="M75">
        <f ca="1"/>
        <v>3</v>
      </c>
    </row>
    <row r="76" spans="3:13" x14ac:dyDescent="0.3">
      <c r="C76" t="str">
        <f ca="1"/>
        <v>Rafaelita Blaksland</v>
      </c>
      <c r="D76" t="str">
        <f ca="1"/>
        <v>Female</v>
      </c>
      <c r="E76" t="str">
        <f ca="1"/>
        <v>Sales</v>
      </c>
      <c r="F76">
        <f ca="1"/>
        <v>38</v>
      </c>
      <c r="G76">
        <f ca="1"/>
        <v>44377</v>
      </c>
      <c r="H76">
        <f ca="1"/>
        <v>109160</v>
      </c>
      <c r="I76" t="str">
        <f ca="1"/>
        <v>Exceptional</v>
      </c>
      <c r="J76" t="str">
        <f ca="1"/>
        <v>nz</v>
      </c>
      <c r="K76">
        <f ca="1"/>
        <v>5.0493150684931507</v>
      </c>
      <c r="L76">
        <f ca="1"/>
        <v>3275</v>
      </c>
      <c r="M76">
        <f ca="1"/>
        <v>5</v>
      </c>
    </row>
    <row r="77" spans="3:13" x14ac:dyDescent="0.3">
      <c r="C77" t="str">
        <f ca="1"/>
        <v>Sawini Chandan</v>
      </c>
      <c r="D77" t="str">
        <f ca="1"/>
        <v>Female</v>
      </c>
      <c r="E77" t="str">
        <f ca="1"/>
        <v>Sales</v>
      </c>
      <c r="F77">
        <f ca="1"/>
        <v>38</v>
      </c>
      <c r="G77">
        <f ca="1"/>
        <v>44316</v>
      </c>
      <c r="H77">
        <f ca="1"/>
        <v>109160</v>
      </c>
      <c r="I77" t="str">
        <f ca="1"/>
        <v>Exceptional</v>
      </c>
      <c r="J77" t="str">
        <f ca="1"/>
        <v>India</v>
      </c>
      <c r="K77">
        <f ca="1"/>
        <v>5.2164383561643834</v>
      </c>
      <c r="L77">
        <f ca="1"/>
        <v>3275</v>
      </c>
      <c r="M77">
        <f ca="1"/>
        <v>5</v>
      </c>
    </row>
    <row r="78" spans="3:13" x14ac:dyDescent="0.3">
      <c r="C78" t="str">
        <f ca="1"/>
        <v>Halimeda Kuscha</v>
      </c>
      <c r="D78" t="str">
        <f ca="1"/>
        <v>Female</v>
      </c>
      <c r="E78" t="str">
        <f ca="1"/>
        <v>Procurement</v>
      </c>
      <c r="F78">
        <f ca="1"/>
        <v>30</v>
      </c>
      <c r="G78">
        <f ca="1"/>
        <v>44861</v>
      </c>
      <c r="H78">
        <f ca="1"/>
        <v>112570</v>
      </c>
      <c r="I78" t="str">
        <f ca="1"/>
        <v>Average</v>
      </c>
      <c r="J78" t="str">
        <f ca="1"/>
        <v>nz</v>
      </c>
      <c r="K78">
        <f ca="1"/>
        <v>3.7232876712328768</v>
      </c>
      <c r="L78">
        <f ca="1"/>
        <v>3378</v>
      </c>
      <c r="M78">
        <f ca="1"/>
        <v>3</v>
      </c>
    </row>
    <row r="79" spans="3:13" x14ac:dyDescent="0.3">
      <c r="C79" t="str">
        <f ca="1"/>
        <v>Makshi Vinutha</v>
      </c>
      <c r="D79" t="str">
        <f ca="1"/>
        <v>Female</v>
      </c>
      <c r="E79" t="str">
        <f ca="1"/>
        <v>Procurement</v>
      </c>
      <c r="F79">
        <f ca="1"/>
        <v>30</v>
      </c>
      <c r="G79">
        <f ca="1"/>
        <v>44800</v>
      </c>
      <c r="H79">
        <f ca="1"/>
        <v>112570</v>
      </c>
      <c r="I79" t="str">
        <f ca="1"/>
        <v>Average</v>
      </c>
      <c r="J79" t="str">
        <f ca="1"/>
        <v>India</v>
      </c>
      <c r="K79">
        <f ca="1"/>
        <v>3.8904109589041096</v>
      </c>
      <c r="L79">
        <f ca="1"/>
        <v>3378</v>
      </c>
      <c r="M79">
        <f ca="1"/>
        <v>3</v>
      </c>
    </row>
    <row r="80" spans="3:13" x14ac:dyDescent="0.3">
      <c r="C80" t="str">
        <f ca="1"/>
        <v>Hogan Iles</v>
      </c>
      <c r="D80" t="str">
        <f ca="1"/>
        <v>Female</v>
      </c>
      <c r="E80" t="str">
        <f ca="1"/>
        <v>Procurement</v>
      </c>
      <c r="F80">
        <f ca="1"/>
        <v>30</v>
      </c>
      <c r="G80">
        <f ca="1"/>
        <v>44850</v>
      </c>
      <c r="H80">
        <f ca="1"/>
        <v>114180</v>
      </c>
      <c r="I80" t="str">
        <f ca="1"/>
        <v>Average</v>
      </c>
      <c r="J80" t="str">
        <f ca="1"/>
        <v>nz</v>
      </c>
      <c r="K80">
        <f ca="1"/>
        <v>3.7534246575342465</v>
      </c>
      <c r="L80">
        <f ca="1"/>
        <v>3426</v>
      </c>
      <c r="M80">
        <f ca="1"/>
        <v>3</v>
      </c>
    </row>
    <row r="81" spans="3:13" x14ac:dyDescent="0.3">
      <c r="C81" t="str">
        <f ca="1"/>
        <v>Sarojini Naueshwara</v>
      </c>
      <c r="D81" t="str">
        <f ca="1"/>
        <v>Female</v>
      </c>
      <c r="E81" t="str">
        <f ca="1"/>
        <v>Procurement</v>
      </c>
      <c r="F81">
        <f ca="1"/>
        <v>30</v>
      </c>
      <c r="G81">
        <f ca="1"/>
        <v>44789</v>
      </c>
      <c r="H81">
        <f ca="1"/>
        <v>114180</v>
      </c>
      <c r="I81" t="str">
        <f ca="1"/>
        <v>Average</v>
      </c>
      <c r="J81" t="str">
        <f ca="1"/>
        <v>India</v>
      </c>
      <c r="K81">
        <f ca="1"/>
        <v>3.9205479452054797</v>
      </c>
      <c r="L81">
        <f ca="1"/>
        <v>3426</v>
      </c>
      <c r="M81">
        <f ca="1"/>
        <v>3</v>
      </c>
    </row>
    <row r="82" spans="3:13" x14ac:dyDescent="0.3">
      <c r="C82" t="str">
        <f ca="1"/>
        <v>Wilone O'Kielt</v>
      </c>
      <c r="D82" t="str">
        <f ca="1"/>
        <v>Female</v>
      </c>
      <c r="E82" t="str">
        <f ca="1"/>
        <v>Website</v>
      </c>
      <c r="F82">
        <f ca="1"/>
        <v>43</v>
      </c>
      <c r="G82">
        <f ca="1"/>
        <v>45045</v>
      </c>
      <c r="H82">
        <f ca="1"/>
        <v>114870</v>
      </c>
      <c r="I82" t="str">
        <f ca="1"/>
        <v>Average</v>
      </c>
      <c r="J82" t="str">
        <f ca="1"/>
        <v>nz</v>
      </c>
      <c r="K82">
        <f ca="1"/>
        <v>3.2191780821917808</v>
      </c>
      <c r="L82">
        <f ca="1"/>
        <v>3447</v>
      </c>
      <c r="M82">
        <f ca="1"/>
        <v>3</v>
      </c>
    </row>
    <row r="83" spans="3:13" x14ac:dyDescent="0.3">
      <c r="C83" t="str">
        <f ca="1"/>
        <v>Ramnath Ravuri</v>
      </c>
      <c r="D83" t="str">
        <f ca="1"/>
        <v>Female</v>
      </c>
      <c r="E83" t="str">
        <f ca="1"/>
        <v>Website</v>
      </c>
      <c r="F83">
        <f ca="1"/>
        <v>44</v>
      </c>
      <c r="G83">
        <f ca="1"/>
        <v>44985</v>
      </c>
      <c r="H83">
        <f ca="1"/>
        <v>114870</v>
      </c>
      <c r="I83" t="str">
        <f ca="1"/>
        <v>Average</v>
      </c>
      <c r="J83" t="str">
        <f ca="1"/>
        <v>India</v>
      </c>
      <c r="K83">
        <f ca="1"/>
        <v>3.3835616438356166</v>
      </c>
      <c r="L83">
        <f ca="1"/>
        <v>3447</v>
      </c>
      <c r="M83">
        <f ca="1"/>
        <v>3</v>
      </c>
    </row>
    <row r="84" spans="3:13" x14ac:dyDescent="0.3">
      <c r="C84" t="str">
        <f ca="1"/>
        <v>Tracy Renad</v>
      </c>
      <c r="D84" t="str">
        <f ca="1"/>
        <v>Female</v>
      </c>
      <c r="E84" t="str">
        <f ca="1"/>
        <v>Procurement</v>
      </c>
      <c r="F84">
        <f ca="1"/>
        <v>36</v>
      </c>
      <c r="G84">
        <f ca="1"/>
        <v>44085</v>
      </c>
      <c r="H84">
        <f ca="1"/>
        <v>114890</v>
      </c>
      <c r="I84" t="str">
        <f ca="1"/>
        <v>Average</v>
      </c>
      <c r="J84" t="str">
        <f ca="1"/>
        <v>nz</v>
      </c>
      <c r="K84">
        <f ca="1"/>
        <v>5.8493150684931505</v>
      </c>
      <c r="L84">
        <f ca="1"/>
        <v>3447</v>
      </c>
      <c r="M84">
        <f ca="1"/>
        <v>3</v>
      </c>
    </row>
    <row r="85" spans="3:13" x14ac:dyDescent="0.3">
      <c r="C85" t="str">
        <f ca="1"/>
        <v>Dhruv Manjunath</v>
      </c>
      <c r="D85" t="str">
        <f ca="1"/>
        <v>Female</v>
      </c>
      <c r="E85" t="str">
        <f ca="1"/>
        <v>Procurement</v>
      </c>
      <c r="F85">
        <f ca="1"/>
        <v>36</v>
      </c>
      <c r="G85">
        <f ca="1"/>
        <v>44023</v>
      </c>
      <c r="H85">
        <f ca="1"/>
        <v>114890</v>
      </c>
      <c r="I85" t="str">
        <f ca="1"/>
        <v>Average</v>
      </c>
      <c r="J85" t="str">
        <f ca="1"/>
        <v>India</v>
      </c>
      <c r="K85">
        <f ca="1"/>
        <v>6.0191780821917806</v>
      </c>
      <c r="L85">
        <f ca="1"/>
        <v>3447</v>
      </c>
      <c r="M85">
        <f ca="1"/>
        <v>3</v>
      </c>
    </row>
    <row r="86" spans="3:13" x14ac:dyDescent="0.3">
      <c r="C86" t="str">
        <f ca="1"/>
        <v>Valentia Etteridge</v>
      </c>
      <c r="D86" t="str">
        <f ca="1"/>
        <v>Female</v>
      </c>
      <c r="E86" t="str">
        <f ca="1"/>
        <v>HR</v>
      </c>
      <c r="F86">
        <f ca="1"/>
        <v>37</v>
      </c>
      <c r="G86">
        <f ca="1"/>
        <v>44451</v>
      </c>
      <c r="H86">
        <f ca="1"/>
        <v>118100</v>
      </c>
      <c r="I86" t="str">
        <f ca="1"/>
        <v>Average</v>
      </c>
      <c r="J86" t="str">
        <f ca="1"/>
        <v>nz</v>
      </c>
      <c r="K86">
        <f ca="1"/>
        <v>4.8465753424657532</v>
      </c>
      <c r="L86">
        <f ca="1"/>
        <v>3543</v>
      </c>
      <c r="M86">
        <f ca="1"/>
        <v>3</v>
      </c>
    </row>
    <row r="87" spans="3:13" x14ac:dyDescent="0.3">
      <c r="C87" t="str">
        <f ca="1"/>
        <v>Kaishori Harathi Kateel</v>
      </c>
      <c r="D87" t="str">
        <f ca="1"/>
        <v>Female</v>
      </c>
      <c r="E87" t="str">
        <f ca="1"/>
        <v>HR</v>
      </c>
      <c r="F87">
        <f ca="1"/>
        <v>37</v>
      </c>
      <c r="G87">
        <f ca="1"/>
        <v>44389</v>
      </c>
      <c r="H87">
        <f ca="1"/>
        <v>118100</v>
      </c>
      <c r="I87" t="str">
        <f ca="1"/>
        <v>Average</v>
      </c>
      <c r="J87" t="str">
        <f ca="1"/>
        <v>India</v>
      </c>
      <c r="K87">
        <f ca="1"/>
        <v>5.0164383561643833</v>
      </c>
      <c r="L87">
        <f ca="1"/>
        <v>3543</v>
      </c>
      <c r="M87">
        <f ca="1"/>
        <v>3</v>
      </c>
    </row>
    <row r="88" spans="3:13" x14ac:dyDescent="0.3">
      <c r="C88" t="str">
        <f ca="1"/>
        <v>Ewart Laphorn</v>
      </c>
      <c r="D88" t="str">
        <f ca="1"/>
        <v>Female</v>
      </c>
      <c r="E88" t="str">
        <f ca="1"/>
        <v>HR</v>
      </c>
      <c r="F88">
        <f ca="1"/>
        <v>27</v>
      </c>
      <c r="G88">
        <f ca="1"/>
        <v>44122</v>
      </c>
      <c r="H88">
        <f ca="1"/>
        <v>119110</v>
      </c>
      <c r="I88" t="str">
        <f ca="1"/>
        <v>Average</v>
      </c>
      <c r="J88" t="str">
        <f ca="1"/>
        <v>nz</v>
      </c>
      <c r="K88">
        <f ca="1"/>
        <v>5.7479452054794518</v>
      </c>
      <c r="L88">
        <f ca="1"/>
        <v>3574</v>
      </c>
      <c r="M88">
        <f ca="1"/>
        <v>3</v>
      </c>
    </row>
    <row r="89" spans="3:13" x14ac:dyDescent="0.3">
      <c r="C89" t="str">
        <f ca="1"/>
        <v>Anjushri Chandiramani</v>
      </c>
      <c r="D89" t="str">
        <f ca="1"/>
        <v>Female</v>
      </c>
      <c r="E89" t="str">
        <f ca="1"/>
        <v>HR</v>
      </c>
      <c r="F89">
        <f ca="1"/>
        <v>27</v>
      </c>
      <c r="G89">
        <f ca="1"/>
        <v>44061</v>
      </c>
      <c r="H89">
        <f ca="1"/>
        <v>119110</v>
      </c>
      <c r="I89" t="str">
        <f ca="1"/>
        <v>Average</v>
      </c>
      <c r="J89" t="str">
        <f ca="1"/>
        <v>India</v>
      </c>
      <c r="K89">
        <f ca="1"/>
        <v>5.9150684931506845</v>
      </c>
      <c r="L89">
        <f ca="1"/>
        <v>3574</v>
      </c>
      <c r="M89">
        <f ca="1"/>
        <v>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0B566-9EAF-4D9A-8C39-67E32837F5ED}">
  <dimension ref="A1:B6"/>
  <sheetViews>
    <sheetView workbookViewId="0">
      <selection activeCell="H10" sqref="H10"/>
    </sheetView>
  </sheetViews>
  <sheetFormatPr defaultRowHeight="14.4" x14ac:dyDescent="0.3"/>
  <cols>
    <col min="1" max="1" width="31.44140625" customWidth="1"/>
    <col min="2" max="2" width="10.77734375" customWidth="1"/>
  </cols>
  <sheetData>
    <row r="1" spans="1:2" ht="28.8" x14ac:dyDescent="0.3">
      <c r="A1" s="52" t="s">
        <v>255</v>
      </c>
      <c r="B1" s="53"/>
    </row>
    <row r="2" spans="1:2" x14ac:dyDescent="0.3">
      <c r="A2" s="30" t="s">
        <v>10</v>
      </c>
      <c r="B2" s="31">
        <v>5</v>
      </c>
    </row>
    <row r="3" spans="1:2" x14ac:dyDescent="0.3">
      <c r="A3" s="30" t="s">
        <v>13</v>
      </c>
      <c r="B3" s="31">
        <v>4</v>
      </c>
    </row>
    <row r="4" spans="1:2" x14ac:dyDescent="0.3">
      <c r="A4" s="30" t="s">
        <v>16</v>
      </c>
      <c r="B4" s="31">
        <v>3</v>
      </c>
    </row>
    <row r="5" spans="1:2" x14ac:dyDescent="0.3">
      <c r="A5" s="30" t="s">
        <v>24</v>
      </c>
      <c r="B5" s="31">
        <v>2</v>
      </c>
    </row>
    <row r="6" spans="1:2" x14ac:dyDescent="0.3">
      <c r="A6" s="30" t="s">
        <v>42</v>
      </c>
      <c r="B6" s="31">
        <v>1</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68CA4D-8987-4605-8537-1CAB1A9646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NZ Staff</vt:lpstr>
      <vt:lpstr>India Staff</vt:lpstr>
      <vt:lpstr>All Staff</vt:lpstr>
      <vt:lpstr>Name Searcher</vt:lpstr>
      <vt:lpstr>India vs NZ Card</vt:lpstr>
      <vt:lpstr>India vs NZ Pivot Table</vt:lpstr>
      <vt:lpstr>Employement Growth</vt:lpstr>
      <vt:lpstr>Salary vs Rating</vt:lpstr>
      <vt:lpstr>Salary Spread</vt:lpstr>
      <vt:lpstr>Information Finder</vt:lpstr>
      <vt:lpstr>Gender pivot table</vt:lpstr>
      <vt:lpstr>Male vs Female</vt:lpstr>
      <vt:lpstr>Rating map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Rawan Arafa</cp:lastModifiedBy>
  <dcterms:created xsi:type="dcterms:W3CDTF">2021-03-14T20:21:32Z</dcterms:created>
  <dcterms:modified xsi:type="dcterms:W3CDTF">2026-07-17T19:32:10Z</dcterms:modified>
</cp:coreProperties>
</file>